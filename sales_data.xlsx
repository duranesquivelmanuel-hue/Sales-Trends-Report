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uran\OneDrive\Escritorio\sales-performance-dashboard-excel\"/>
    </mc:Choice>
  </mc:AlternateContent>
  <xr:revisionPtr revIDLastSave="0" documentId="13_ncr:1_{0C8B5BF5-9C67-475B-8C5F-745A75350DE1}" xr6:coauthVersionLast="47" xr6:coauthVersionMax="47" xr10:uidLastSave="{00000000-0000-0000-0000-000000000000}"/>
  <bookViews>
    <workbookView xWindow="-108" yWindow="-108" windowWidth="23256" windowHeight="12456" tabRatio="848" activeTab="4" xr2:uid="{D221737B-BD9F-4D4F-824A-4B4E815F893B}"/>
  </bookViews>
  <sheets>
    <sheet name="sales_data" sheetId="1" r:id="rId1"/>
    <sheet name="Sales by Mouth" sheetId="9" r:id="rId2"/>
    <sheet name="Top Products by Profit" sheetId="5" r:id="rId3"/>
    <sheet name="Average Profit Margin by Produc" sheetId="7" r:id="rId4"/>
    <sheet name="Dashboard" sheetId="8" r:id="rId5"/>
  </sheets>
  <definedNames>
    <definedName name="_xlnm._FilterDatabase" localSheetId="0" hidden="1">sales_data!$A$1:$N$1001</definedName>
  </definedNames>
  <calcPr calcId="191029"/>
  <pivotCaches>
    <pivotCache cacheId="3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8" l="1"/>
  <c r="C4" i="8"/>
  <c r="B4" i="8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</calcChain>
</file>

<file path=xl/sharedStrings.xml><?xml version="1.0" encoding="utf-8"?>
<sst xmlns="http://schemas.openxmlformats.org/spreadsheetml/2006/main" count="7053" uniqueCount="80">
  <si>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</si>
  <si>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</si>
  <si>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</si>
  <si>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</si>
  <si>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</si>
  <si>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</si>
  <si>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</si>
  <si>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</si>
  <si>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</si>
  <si>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</si>
  <si>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</si>
  <si>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</si>
  <si>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</si>
  <si>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</si>
  <si>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</si>
  <si>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</si>
  <si>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</si>
  <si>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</si>
  <si>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</si>
  <si>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</si>
  <si>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</si>
  <si>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</si>
  <si>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</si>
  <si>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</si>
  <si>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</si>
  <si>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</si>
  <si>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</si>
  <si>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</si>
  <si>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</si>
  <si>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</si>
  <si>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</si>
  <si>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</si>
  <si>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</si>
  <si>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</si>
  <si>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</si>
  <si>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</si>
  <si>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</si>
  <si>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</si>
  <si>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</si>
  <si>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</si>
  <si>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</si>
  <si>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</si>
  <si>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</si>
  <si>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</si>
  <si>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</si>
  <si>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</si>
  <si>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</si>
  <si>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</si>
  <si>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</si>
  <si>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</si>
  <si>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</si>
  <si>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</si>
  <si>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</si>
  <si>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</si>
  <si>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Etiquetas de fila</t>
  </si>
  <si>
    <t>Total general</t>
  </si>
  <si>
    <t>2023</t>
  </si>
  <si>
    <t>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</si>
  <si>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</si>
  <si>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</si>
  <si>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</si>
  <si>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</si>
  <si>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</si>
  <si>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</si>
  <si>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</si>
  <si>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</si>
  <si>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</si>
  <si>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</si>
  <si>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</si>
  <si>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</si>
  <si>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Profit</t>
  </si>
  <si>
    <t>Suma de Profit</t>
  </si>
  <si>
    <t>Margin</t>
  </si>
  <si>
    <t>Promedio de Margin</t>
  </si>
  <si>
    <t>Sales_Calculated</t>
  </si>
  <si>
    <t>Total Profit</t>
  </si>
  <si>
    <t>Average Margin</t>
  </si>
  <si>
    <t>Total Sales</t>
  </si>
  <si>
    <t xml:space="preserve">Sales Performance Dashboard </t>
  </si>
  <si>
    <t>Suma de Sales_Calculated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</si>
</sst>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6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44" fontId="16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49" fontId="1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1" fontId="16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0" fontId="16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16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0" fontId="0" fillId="0" borderId="0" xfId="0" applyNumberFormat="1"/>
    <xf numFmtId="44" fontId="0" fillId="0" borderId="0" xfId="0" applyNumberFormat="1" applyAlignment="1">
      <alignment horizontal="center"/>
    </xf>
    <xf numFmtId="44" fontId="0" fillId="0" borderId="0" xfId="0" applyNumberFormat="1"/>
    <xf numFmtId="0" fontId="16" fillId="33" borderId="10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center" vertical="center"/>
    </xf>
    <xf numFmtId="4" fontId="18" fillId="34" borderId="10" xfId="0" applyNumberFormat="1" applyFont="1" applyFill="1" applyBorder="1" applyAlignment="1">
      <alignment horizontal="center" vertical="center"/>
    </xf>
    <xf numFmtId="10" fontId="18" fillId="34" borderId="10" xfId="0" applyNumberFormat="1" applyFont="1" applyFill="1" applyBorder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9">
    <dxf>
      <numFmt numFmtId="14" formatCode="0.00%"/>
      <alignment horizontal="center" vertical="bottom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numFmt numFmtId="166" formatCode="&quot;$&quot;#,##0.00"/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 by Mouth!TablaDinámica6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Mouth'!$B$3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by Mouth'!$A$4:$A$19</c:f>
              <c:multiLvlStrCache>
                <c:ptCount val="13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'Sales by Mouth'!$B$4:$B$19</c:f>
              <c:numCache>
                <c:formatCode>_("$"* #,##0.00_);_("$"* \(#,##0.00\);_("$"* "-"??_);_(@_)</c:formatCode>
                <c:ptCount val="13"/>
                <c:pt idx="0">
                  <c:v>7427821.0499999942</c:v>
                </c:pt>
                <c:pt idx="1">
                  <c:v>5627477.4499999983</c:v>
                </c:pt>
                <c:pt idx="2">
                  <c:v>6008259.4100000011</c:v>
                </c:pt>
                <c:pt idx="3">
                  <c:v>5468497.620000001</c:v>
                </c:pt>
                <c:pt idx="4">
                  <c:v>5800626.5099999961</c:v>
                </c:pt>
                <c:pt idx="5">
                  <c:v>6142561.2299999967</c:v>
                </c:pt>
                <c:pt idx="6">
                  <c:v>4751432.42</c:v>
                </c:pt>
                <c:pt idx="7">
                  <c:v>6716190.6099999975</c:v>
                </c:pt>
                <c:pt idx="8">
                  <c:v>4557015.5799999982</c:v>
                </c:pt>
                <c:pt idx="9">
                  <c:v>6560606.3899999959</c:v>
                </c:pt>
                <c:pt idx="10">
                  <c:v>4958930.1899999958</c:v>
                </c:pt>
                <c:pt idx="11">
                  <c:v>6250242.7899999972</c:v>
                </c:pt>
                <c:pt idx="12">
                  <c:v>60279.46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2-456C-A0F1-E26B40747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735727"/>
        <c:axId val="1326738703"/>
      </c:barChart>
      <c:catAx>
        <c:axId val="132673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6738703"/>
        <c:crosses val="autoZero"/>
        <c:auto val="1"/>
        <c:lblAlgn val="ctr"/>
        <c:lblOffset val="100"/>
        <c:noMultiLvlLbl val="0"/>
      </c:catAx>
      <c:valAx>
        <c:axId val="13267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673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[sales_data.xlsx]Top Products by Profit!TablaDinámica3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Top</a:t>
            </a:r>
            <a:r>
              <a:rPr lang="es-MX" baseline="0"/>
              <a:t>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 by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 by Profit'!$A$4:$A$8</c:f>
              <c:strCache>
                <c:ptCount val="4"/>
                <c:pt idx="0">
                  <c:v>Furniture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</c:strCache>
            </c:strRef>
          </c:cat>
          <c:val>
            <c:numRef>
              <c:f>'Top Products by Profit'!$B$4:$B$8</c:f>
              <c:numCache>
                <c:formatCode>"$"#,##0.00</c:formatCode>
                <c:ptCount val="4"/>
                <c:pt idx="0">
                  <c:v>1779461.1599999934</c:v>
                </c:pt>
                <c:pt idx="1">
                  <c:v>1712957.7999999931</c:v>
                </c:pt>
                <c:pt idx="2">
                  <c:v>1574320.0599999935</c:v>
                </c:pt>
                <c:pt idx="3">
                  <c:v>1421108.0499999952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1-4537-83FE-CAE919BB1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4093711"/>
        <c:axId val="1914101647"/>
      </c:barChart>
      <c:catAx>
        <c:axId val="191409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4101647"/>
        <c:crosses val="autoZero"/>
        <c:auto val="1"/>
        <c:lblAlgn val="ctr"/>
        <c:lblOffset val="100"/>
        <c:noMultiLvlLbl val="0"/>
      </c:catAx>
      <c:valAx>
        <c:axId val="191410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409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4</xdr:row>
      <xdr:rowOff>167640</xdr:rowOff>
    </xdr:from>
    <xdr:to>
      <xdr:col>3</xdr:col>
      <xdr:colOff>426720</xdr:colOff>
      <xdr:row>19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4E50E4-72FC-4D01-9DDE-67DA3724A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495300</xdr:colOff>
      <xdr:row>4</xdr:row>
      <xdr:rowOff>167640</xdr:rowOff>
    </xdr:from>
    <xdr:to>
      <xdr:col>9</xdr:col>
      <xdr:colOff>312420</xdr:colOff>
      <xdr:row>19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A07C1E-6271-4995-A479-82BD295C6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 DURAN ESQUIVEL" refreshedDate="46064.666793402779" createdVersion="8" refreshedVersion="8" minRefreshableVersion="3" recordCount="1000" xr:uid="{2B2E17DB-BFFE-4607-98B1-C670EE9F19EC}">
  <cacheSource type="worksheet">
    <worksheetSource name="Tabla1"/>
  </cacheSource>
  <cacheFields count="19">
    <cacheField name="Product_ID" numFmtId="1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 count="340">
        <d v="2023-02-03T00:00:00"/>
        <d v="2023-04-21T00:00:00"/>
        <d v="2023-09-21T00:00:00"/>
        <d v="2023-08-24T00:00:00"/>
        <d v="2023-03-24T00:00:00"/>
        <d v="2023-02-11T00:00:00"/>
        <d v="2023-04-11T00:00:00"/>
        <d v="2023-01-06T00:00:00"/>
        <d v="2023-06-29T00:00:00"/>
        <d v="2023-10-09T00:00:00"/>
        <d v="2023-11-16T00:00:00"/>
        <d v="2023-08-14T00:00:00"/>
        <d v="2023-11-11T00:00:00"/>
        <d v="2023-12-31T00:00:00"/>
        <d v="2023-08-17T00:00:00"/>
        <d v="2023-10-16T00:00:00"/>
        <d v="2023-05-30T00:00:00"/>
        <d v="2023-10-04T00:00:00"/>
        <d v="2023-07-17T00:00:00"/>
        <d v="2023-03-11T00:00:00"/>
        <d v="2023-04-22T00:00:00"/>
        <d v="2023-01-04T00:00:00"/>
        <d v="2023-12-16T00:00:00"/>
        <d v="2023-11-27T00:00:00"/>
        <d v="2023-11-14T00:00:00"/>
        <d v="2023-04-05T00:00:00"/>
        <d v="2023-06-01T00:00:00"/>
        <d v="2023-11-07T00:00:00"/>
        <d v="2023-05-17T00:00:00"/>
        <d v="2023-09-04T00:00:00"/>
        <d v="2023-08-31T00:00:00"/>
        <d v="2023-01-31T00:00:00"/>
        <d v="2023-02-09T00:00:00"/>
        <d v="2023-02-05T00:00:00"/>
        <d v="2023-08-11T00:00:00"/>
        <d v="2023-11-18T00:00:00"/>
        <d v="2023-08-08T00:00:00"/>
        <d v="2023-03-16T00:00:00"/>
        <d v="2023-12-01T00:00:00"/>
        <d v="2023-05-14T00:00:00"/>
        <d v="2023-04-28T00:00:00"/>
        <d v="2023-04-04T00:00:00"/>
        <d v="2023-03-03T00:00:00"/>
        <d v="2023-07-13T00:00:00"/>
        <d v="2023-07-22T00:00:00"/>
        <d v="2023-01-26T00:00:00"/>
        <d v="2023-06-22T00:00:00"/>
        <d v="2023-10-27T00:00:00"/>
        <d v="2023-05-13T00:00:00"/>
        <d v="2023-11-22T00:00:00"/>
        <d v="2023-11-20T00:00:00"/>
        <d v="2023-10-02T00:00:00"/>
        <d v="2023-07-31T00:00:00"/>
        <d v="2023-08-13T00:00:00"/>
        <d v="2023-01-20T00:00:00"/>
        <d v="2023-04-23T00:00:00"/>
        <d v="2023-05-20T00:00:00"/>
        <d v="2023-02-16T00:00:00"/>
        <d v="2023-01-01T00:00:00"/>
        <d v="2023-03-31T00:00:00"/>
        <d v="2023-05-22T00:00:00"/>
        <d v="2023-02-07T00:00:00"/>
        <d v="2023-10-20T00:00:00"/>
        <d v="2023-05-19T00:00:00"/>
        <d v="2023-12-22T00:00:00"/>
        <d v="2023-11-29T00:00:00"/>
        <d v="2023-09-16T00:00:00"/>
        <d v="2023-06-10T00:00:00"/>
        <d v="2023-06-27T00:00:00"/>
        <d v="2023-01-10T00:00:00"/>
        <d v="2023-09-18T00:00:00"/>
        <d v="2023-05-18T00:00:00"/>
        <d v="2023-06-21T00:00:00"/>
        <d v="2023-01-13T00:00:00"/>
        <d v="2023-06-17T00:00:00"/>
        <d v="2023-05-10T00:00:00"/>
        <d v="2023-03-25T00:00:00"/>
        <d v="2023-11-17T00:00:00"/>
        <d v="2023-11-15T00:00:00"/>
        <d v="2023-11-25T00:00:00"/>
        <d v="2023-09-30T00:00:00"/>
        <d v="2023-09-22T00:00:00"/>
        <d v="2023-11-01T00:00:00"/>
        <d v="2023-03-10T00:00:00"/>
        <d v="2023-11-30T00:00:00"/>
        <d v="2023-03-17T00:00:00"/>
        <d v="2023-02-04T00:00:00"/>
        <d v="2023-10-23T00:00:00"/>
        <d v="2023-03-01T00:00:00"/>
        <d v="2023-12-15T00:00:00"/>
        <d v="2023-11-24T00:00:00"/>
        <d v="2023-09-24T00:00:00"/>
        <d v="2023-12-27T00:00:00"/>
        <d v="2023-09-27T00:00:00"/>
        <d v="2023-11-12T00:00:00"/>
        <d v="2023-10-13T00:00:00"/>
        <d v="2023-10-18T00:00:00"/>
        <d v="2023-08-01T00:00:00"/>
        <d v="2023-06-14T00:00:00"/>
        <d v="2023-01-05T00:00:00"/>
        <d v="2023-12-05T00:00:00"/>
        <d v="2023-03-19T00:00:00"/>
        <d v="2023-05-12T00:00:00"/>
        <d v="2023-03-30T00:00:00"/>
        <d v="2023-08-25T00:00:00"/>
        <d v="2023-10-22T00:00:00"/>
        <d v="2023-04-14T00:00:00"/>
        <d v="2023-01-14T00:00:00"/>
        <d v="2023-10-15T00:00:00"/>
        <d v="2023-06-28T00:00:00"/>
        <d v="2023-05-05T00:00:00"/>
        <d v="2023-12-19T00:00:00"/>
        <d v="2023-01-23T00:00:00"/>
        <d v="2023-03-04T00:00:00"/>
        <d v="2023-05-23T00:00:00"/>
        <d v="2023-06-02T00:00:00"/>
        <d v="2023-05-25T00:00:00"/>
        <d v="2023-11-05T00:00:00"/>
        <d v="2023-02-08T00:00:00"/>
        <d v="2023-03-08T00:00:00"/>
        <d v="2023-01-15T00:00:00"/>
        <d v="2023-06-06T00:00:00"/>
        <d v="2023-08-19T00:00:00"/>
        <d v="2023-04-07T00:00:00"/>
        <d v="2023-09-11T00:00:00"/>
        <d v="2023-07-15T00:00:00"/>
        <d v="2023-03-27T00:00:00"/>
        <d v="2023-05-03T00:00:00"/>
        <d v="2023-11-26T00:00:00"/>
        <d v="2023-10-21T00:00:00"/>
        <d v="2023-06-08T00:00:00"/>
        <d v="2023-10-30T00:00:00"/>
        <d v="2023-08-16T00:00:00"/>
        <d v="2023-08-04T00:00:00"/>
        <d v="2023-07-03T00:00:00"/>
        <d v="2023-05-16T00:00:00"/>
        <d v="2023-11-28T00:00:00"/>
        <d v="2023-04-25T00:00:00"/>
        <d v="2023-10-19T00:00:00"/>
        <d v="2023-10-26T00:00:00"/>
        <d v="2023-10-10T00:00:00"/>
        <d v="2023-05-28T00:00:00"/>
        <d v="2023-01-11T00:00:00"/>
        <d v="2023-12-26T00:00:00"/>
        <d v="2023-07-19T00:00:00"/>
        <d v="2023-12-12T00:00:00"/>
        <d v="2023-10-29T00:00:00"/>
        <d v="2023-12-29T00:00:00"/>
        <d v="2023-08-06T00:00:00"/>
        <d v="2023-05-21T00:00:00"/>
        <d v="2023-07-29T00:00:00"/>
        <d v="2023-06-20T00:00:00"/>
        <d v="2023-05-07T00:00:00"/>
        <d v="2023-04-16T00:00:00"/>
        <d v="2023-04-02T00:00:00"/>
        <d v="2023-10-14T00:00:00"/>
        <d v="2023-02-20T00:00:00"/>
        <d v="2023-01-29T00:00:00"/>
        <d v="2023-10-24T00:00:00"/>
        <d v="2023-08-02T00:00:00"/>
        <d v="2023-09-14T00:00:00"/>
        <d v="2023-04-20T00:00:00"/>
        <d v="2023-07-01T00:00:00"/>
        <d v="2023-11-09T00:00:00"/>
        <d v="2023-02-24T00:00:00"/>
        <d v="2023-05-29T00:00:00"/>
        <d v="2023-07-21T00:00:00"/>
        <d v="2023-04-27T00:00:00"/>
        <d v="2023-06-03T00:00:00"/>
        <d v="2023-09-01T00:00:00"/>
        <d v="2023-01-25T00:00:00"/>
        <d v="2023-12-13T00:00:00"/>
        <d v="2023-01-17T00:00:00"/>
        <d v="2023-05-08T00:00:00"/>
        <d v="2023-12-30T00:00:00"/>
        <d v="2023-09-08T00:00:00"/>
        <d v="2023-12-10T00:00:00"/>
        <d v="2023-06-26T00:00:00"/>
        <d v="2023-10-12T00:00:00"/>
        <d v="2023-06-05T00:00:00"/>
        <d v="2023-02-18T00:00:00"/>
        <d v="2023-12-03T00:00:00"/>
        <d v="2023-12-08T00:00:00"/>
        <d v="2023-07-08T00:00:00"/>
        <d v="2023-11-23T00:00:00"/>
        <d v="2023-08-12T00:00:00"/>
        <d v="2023-08-03T00:00:00"/>
        <d v="2023-07-30T00:00:00"/>
        <d v="2023-02-01T00:00:00"/>
        <d v="2023-06-07T00:00:00"/>
        <d v="2023-05-24T00:00:00"/>
        <d v="2023-01-19T00:00:00"/>
        <d v="2023-01-18T00:00:00"/>
        <d v="2023-06-24T00:00:00"/>
        <d v="2023-04-24T00:00:00"/>
        <d v="2023-08-10T00:00:00"/>
        <d v="2023-06-15T00:00:00"/>
        <d v="2023-12-25T00:00:00"/>
        <d v="2023-05-11T00:00:00"/>
        <d v="2023-09-23T00:00:00"/>
        <d v="2024-01-01T00:00:00"/>
        <d v="2023-06-11T00:00:00"/>
        <d v="2023-03-28T00:00:00"/>
        <d v="2023-01-08T00:00:00"/>
        <d v="2023-11-19T00:00:00"/>
        <d v="2023-09-12T00:00:00"/>
        <d v="2023-02-23T00:00:00"/>
        <d v="2023-09-06T00:00:00"/>
        <d v="2023-08-27T00:00:00"/>
        <d v="2023-04-06T00:00:00"/>
        <d v="2023-03-29T00:00:00"/>
        <d v="2023-04-30T00:00:00"/>
        <d v="2023-01-07T00:00:00"/>
        <d v="2023-09-20T00:00:00"/>
        <d v="2023-05-31T00:00:00"/>
        <d v="2023-03-26T00:00:00"/>
        <d v="2023-05-27T00:00:00"/>
        <d v="2023-07-07T00:00:00"/>
        <d v="2023-03-23T00:00:00"/>
        <d v="2023-01-02T00:00:00"/>
        <d v="2023-07-16T00:00:00"/>
        <d v="2023-08-22T00:00:00"/>
        <d v="2023-07-14T00:00:00"/>
        <d v="2023-04-29T00:00:00"/>
        <d v="2023-09-13T00:00:00"/>
        <d v="2023-02-22T00:00:00"/>
        <d v="2023-12-21T00:00:00"/>
        <d v="2023-10-07T00:00:00"/>
        <d v="2023-03-22T00:00:00"/>
        <d v="2023-02-28T00:00:00"/>
        <d v="2023-07-28T00:00:00"/>
        <d v="2023-01-09T00:00:00"/>
        <d v="2023-10-08T00:00:00"/>
        <d v="2023-07-20T00:00:00"/>
        <d v="2023-09-03T00:00:00"/>
        <d v="2023-10-05T00:00:00"/>
        <d v="2023-08-23T00:00:00"/>
        <d v="2023-04-19T00:00:00"/>
        <d v="2023-04-08T00:00:00"/>
        <d v="2023-05-26T00:00:00"/>
        <d v="2023-12-07T00:00:00"/>
        <d v="2023-02-10T00:00:00"/>
        <d v="2023-12-28T00:00:00"/>
        <d v="2023-01-27T00:00:00"/>
        <d v="2023-08-07T00:00:00"/>
        <d v="2023-09-25T00:00:00"/>
        <d v="2023-07-09T00:00:00"/>
        <d v="2023-05-02T00:00:00"/>
        <d v="2023-02-15T00:00:00"/>
        <d v="2023-03-05T00:00:00"/>
        <d v="2023-11-06T00:00:00"/>
        <d v="2023-07-12T00:00:00"/>
        <d v="2023-11-03T00:00:00"/>
        <d v="2023-06-30T00:00:00"/>
        <d v="2023-06-13T00:00:00"/>
        <d v="2023-07-06T00:00:00"/>
        <d v="2023-08-20T00:00:00"/>
        <d v="2023-08-15T00:00:00"/>
        <d v="2023-11-08T00:00:00"/>
        <d v="2023-09-07T00:00:00"/>
        <d v="2023-03-14T00:00:00"/>
        <d v="2023-05-09T00:00:00"/>
        <d v="2023-08-05T00:00:00"/>
        <d v="2023-03-02T00:00:00"/>
        <d v="2023-04-18T00:00:00"/>
        <d v="2023-04-12T00:00:00"/>
        <d v="2023-12-20T00:00:00"/>
        <d v="2023-01-12T00:00:00"/>
        <d v="2023-02-13T00:00:00"/>
        <d v="2023-02-26T00:00:00"/>
        <d v="2023-03-21T00:00:00"/>
        <d v="2023-01-16T00:00:00"/>
        <d v="2023-07-18T00:00:00"/>
        <d v="2023-06-25T00:00:00"/>
        <d v="2023-04-13T00:00:00"/>
        <d v="2023-10-28T00:00:00"/>
        <d v="2023-07-02T00:00:00"/>
        <d v="2023-06-19T00:00:00"/>
        <d v="2023-09-26T00:00:00"/>
        <d v="2023-10-01T00:00:00"/>
        <d v="2023-09-02T00:00:00"/>
        <d v="2023-07-04T00:00:00"/>
        <d v="2023-09-29T00:00:00"/>
        <d v="2023-12-06T00:00:00"/>
        <d v="2023-03-06T00:00:00"/>
        <d v="2023-01-03T00:00:00"/>
        <d v="2023-02-21T00:00:00"/>
        <d v="2023-09-17T00:00:00"/>
        <d v="2023-03-13T00:00:00"/>
        <d v="2023-04-17T00:00:00"/>
        <d v="2023-08-29T00:00:00"/>
        <d v="2023-09-19T00:00:00"/>
        <d v="2023-04-09T00:00:00"/>
        <d v="2023-12-04T00:00:00"/>
        <d v="2023-06-09T00:00:00"/>
        <d v="2023-03-09T00:00:00"/>
        <d v="2023-12-23T00:00:00"/>
        <d v="2023-04-15T00:00:00"/>
        <d v="2023-05-04T00:00:00"/>
        <d v="2023-02-06T00:00:00"/>
        <d v="2023-10-11T00:00:00"/>
        <d v="2023-07-05T00:00:00"/>
        <d v="2023-02-25T00:00:00"/>
        <d v="2023-12-02T00:00:00"/>
        <d v="2023-10-31T00:00:00"/>
        <d v="2023-06-18T00:00:00"/>
        <d v="2023-02-14T00:00:00"/>
        <d v="2023-12-11T00:00:00"/>
        <d v="2023-07-10T00:00:00"/>
        <d v="2023-06-04T00:00:00"/>
        <d v="2023-11-10T00:00:00"/>
        <d v="2023-09-15T00:00:00"/>
        <d v="2023-07-25T00:00:00"/>
        <d v="2023-03-18T00:00:00"/>
        <d v="2023-08-21T00:00:00"/>
        <d v="2023-06-12T00:00:00"/>
        <d v="2023-03-15T00:00:00"/>
        <d v="2023-12-18T00:00:00"/>
        <d v="2023-08-30T00:00:00"/>
        <d v="2023-07-11T00:00:00"/>
        <d v="2023-01-22T00:00:00"/>
        <d v="2023-11-02T00:00:00"/>
        <d v="2023-07-23T00:00:00"/>
        <d v="2023-02-02T00:00:00"/>
        <d v="2023-03-20T00:00:00"/>
        <d v="2023-02-27T00:00:00"/>
        <d v="2023-09-28T00:00:00"/>
        <d v="2023-01-21T00:00:00"/>
        <d v="2023-07-27T00:00:00"/>
        <d v="2023-04-03T00:00:00"/>
        <d v="2023-06-23T00:00:00"/>
        <d v="2023-02-19T00:00:00"/>
        <d v="2023-01-24T00:00:00"/>
        <d v="2023-07-24T00:00:00"/>
        <d v="2023-04-26T00:00:00"/>
        <d v="2023-11-13T00:00:00"/>
        <d v="2023-12-14T00:00:00"/>
        <d v="2023-08-26T00:00:00"/>
        <d v="2023-08-09T00:00:00"/>
        <d v="2023-07-26T00:00:00"/>
      </sharedItems>
      <fieldGroup par="18"/>
    </cacheField>
    <cacheField name="Sales_Rep" numFmtId="49">
      <sharedItems/>
    </cacheField>
    <cacheField name="Region" numFmtId="49">
      <sharedItems/>
    </cacheField>
    <cacheField name="Sales_Amount" numFmtId="44">
      <sharedItems containsSemiMixedTypes="0" containsString="0" containsNumber="1" minValue="100.12" maxValue="9989.0400000000009" count="998">
        <n v="5053.97"/>
        <n v="4384.0200000000004"/>
        <n v="4631.2299999999996"/>
        <n v="2167.94"/>
        <n v="3750.2"/>
        <n v="3761.15"/>
        <n v="618.30999999999995"/>
        <n v="7698.92"/>
        <n v="4223.3900000000003"/>
        <n v="8239.58"/>
        <n v="8518.4500000000007"/>
        <n v="2198.7399999999998"/>
        <n v="6607.8"/>
        <n v="4775.59"/>
        <n v="8813.5499999999993"/>
        <n v="2235.83"/>
        <n v="6810.35"/>
        <n v="6116.75"/>
        <n v="3023.48"/>
        <n v="1452.35"/>
        <n v="6551.23"/>
        <n v="7412.11"/>
        <n v="3224.71"/>
        <n v="6483.84"/>
        <n v="4011.8"/>
        <n v="7160.75"/>
        <n v="2072.23"/>
        <n v="8913.1299999999992"/>
        <n v="2945.36"/>
        <n v="3741.08"/>
        <n v="675.11"/>
        <n v="1203.97"/>
        <n v="5207.03"/>
        <n v="2749.17"/>
        <n v="8371.25"/>
        <n v="245.46"/>
        <n v="3853.03"/>
        <n v="3439.72"/>
        <n v="291.33999999999997"/>
        <n v="1331.25"/>
        <n v="4195.0600000000004"/>
        <n v="4979.3599999999997"/>
        <n v="4102.47"/>
        <n v="5356.28"/>
        <n v="5991.8"/>
        <n v="198.25"/>
        <n v="4694.54"/>
        <n v="9638.64"/>
        <n v="5238.42"/>
        <n v="6807.67"/>
        <n v="3187.45"/>
        <n v="7762.51"/>
        <n v="7751.92"/>
        <n v="5260.83"/>
        <n v="9762.5400000000009"/>
        <n v="1342.95"/>
        <n v="267.77999999999997"/>
        <n v="7724.57"/>
        <n v="8090.84"/>
        <n v="1290.05"/>
        <n v="2729.27"/>
        <n v="273.77"/>
        <n v="3003.76"/>
        <n v="7754.1"/>
        <n v="5227.8100000000004"/>
        <n v="3546.15"/>
        <n v="3780.22"/>
        <n v="113.4"/>
        <n v="3068.03"/>
        <n v="6499.94"/>
        <n v="9744.52"/>
        <n v="8485.9"/>
        <n v="333.59"/>
        <n v="8995.75"/>
        <n v="7853.66"/>
        <n v="7825.72"/>
        <n v="4634.16"/>
        <n v="4040.25"/>
        <n v="3098.87"/>
        <n v="750.38"/>
        <n v="2359.5300000000002"/>
        <n v="2541.38"/>
        <n v="4892.3599999999997"/>
        <n v="7499.7"/>
        <n v="4790.72"/>
        <n v="672.66"/>
        <n v="9582.1200000000008"/>
        <n v="9432.9699999999993"/>
        <n v="7873.38"/>
        <n v="9914.15"/>
        <n v="5490.38"/>
        <n v="9631.41"/>
        <n v="848.49"/>
        <n v="3720.24"/>
        <n v="2331.27"/>
        <n v="2038.75"/>
        <n v="1493.95"/>
        <n v="6261.9"/>
        <n v="7835.09"/>
        <n v="5825.15"/>
        <n v="1554.93"/>
        <n v="8130.13"/>
        <n v="6395.95"/>
        <n v="3942.84"/>
        <n v="6773.89"/>
        <n v="2673.06"/>
        <n v="3517.4"/>
        <n v="9183.11"/>
        <n v="2975.99"/>
        <n v="4752.88"/>
        <n v="8912.4"/>
        <n v="7106.44"/>
        <n v="715.81"/>
        <n v="1558.3"/>
        <n v="177.63"/>
        <n v="6346.13"/>
        <n v="4531.97"/>
        <n v="1429.32"/>
        <n v="9583.5499999999993"/>
        <n v="5343.63"/>
        <n v="2494.7399999999998"/>
        <n v="5055.9799999999996"/>
        <n v="6828.24"/>
        <n v="854.77"/>
        <n v="2819.57"/>
        <n v="8088.96"/>
        <n v="4650.68"/>
        <n v="5511.11"/>
        <n v="4384.88"/>
        <n v="534.61"/>
        <n v="1740.92"/>
        <n v="4510.8599999999997"/>
        <n v="2170.94"/>
        <n v="594.79"/>
        <n v="8452.1299999999992"/>
        <n v="9813.81"/>
        <n v="7952.11"/>
        <n v="8552.4699999999993"/>
        <n v="2495.5700000000002"/>
        <n v="9610.2099999999991"/>
        <n v="2049.56"/>
        <n v="9519.16"/>
        <n v="9948.7099999999991"/>
        <n v="7146.06"/>
        <n v="9813.32"/>
        <n v="5738.44"/>
        <n v="2669.46"/>
        <n v="4426.26"/>
        <n v="5976.25"/>
        <n v="823.51"/>
        <n v="6261.2"/>
        <n v="9813.66"/>
        <n v="1982.07"/>
        <n v="7946.69"/>
        <n v="9088.2000000000007"/>
        <n v="9442.65"/>
        <n v="9605.34"/>
        <n v="5262.45"/>
        <n v="9775.35"/>
        <n v="7597.37"/>
        <n v="1700.55"/>
        <n v="4821.3100000000004"/>
        <n v="7211.48"/>
        <n v="2548.67"/>
        <n v="6442.09"/>
        <n v="6699.34"/>
        <n v="1710.73"/>
        <n v="5694.34"/>
        <n v="7739.11"/>
        <n v="5039.07"/>
        <n v="219.82"/>
        <n v="189.48"/>
        <n v="3634.59"/>
        <n v="9269.32"/>
        <n v="2363.9"/>
        <n v="6380.2"/>
        <n v="2298.5500000000002"/>
        <n v="3284.53"/>
        <n v="8495.6200000000008"/>
        <n v="7315.73"/>
        <n v="1044.45"/>
        <n v="4344.1499999999996"/>
        <n v="388.78"/>
        <n v="4860.8100000000004"/>
        <n v="6658.1"/>
        <n v="1273.18"/>
        <n v="2959.96"/>
        <n v="4038.58"/>
        <n v="9203.36"/>
        <n v="9933.2199999999993"/>
        <n v="544.62"/>
        <n v="7633.98"/>
        <n v="3780.07"/>
        <n v="3985.34"/>
        <n v="7567.22"/>
        <n v="9192.42"/>
        <n v="9514.19"/>
        <n v="5813.51"/>
        <n v="3635.5"/>
        <n v="7896.74"/>
        <n v="2584.91"/>
        <n v="5684.33"/>
        <n v="3649.93"/>
        <n v="6600.65"/>
        <n v="2479.9499999999998"/>
        <n v="1996.77"/>
        <n v="9190.57"/>
        <n v="1107.8599999999999"/>
        <n v="5108.9799999999996"/>
        <n v="2286.44"/>
        <n v="485.41"/>
        <n v="456.59"/>
        <n v="1834.7"/>
        <n v="8681.0300000000007"/>
        <n v="2896.54"/>
        <n v="9509.5499999999993"/>
        <n v="5858.06"/>
        <n v="4422.4799999999996"/>
        <n v="5842.88"/>
        <n v="5215.3100000000004"/>
        <n v="7611.88"/>
        <n v="2896.71"/>
        <n v="3595.2"/>
        <n v="8951.5300000000007"/>
        <n v="9469.92"/>
        <n v="8936.33"/>
        <n v="4252.54"/>
        <n v="7825.62"/>
        <n v="4815.72"/>
        <n v="5025.6400000000003"/>
        <n v="2126.33"/>
        <n v="5952.19"/>
        <n v="1942.75"/>
        <n v="3382.49"/>
        <n v="8564.7999999999993"/>
        <n v="2150.0500000000002"/>
        <n v="804.47"/>
        <n v="783.18"/>
        <n v="9413.77"/>
        <n v="5118.51"/>
        <n v="4153.18"/>
        <n v="8127.7"/>
        <n v="8374.68"/>
        <n v="3388.69"/>
        <n v="6966.82"/>
        <n v="7734.12"/>
        <n v="6581.04"/>
        <n v="1600.79"/>
        <n v="8771.24"/>
        <n v="5437.04"/>
        <n v="2896.48"/>
        <n v="4309.76"/>
        <n v="471.95"/>
        <n v="1365.88"/>
        <n v="7678.91"/>
        <n v="100.12"/>
        <n v="4224"/>
        <n v="5272.85"/>
        <n v="640.88"/>
        <n v="9733.4699999999993"/>
        <n v="2338.64"/>
        <n v="3111.57"/>
        <n v="3109.03"/>
        <n v="2381.12"/>
        <n v="114.59"/>
        <n v="7320.51"/>
        <n v="9671.77"/>
        <n v="2320.5100000000002"/>
        <n v="6664.17"/>
        <n v="7444.77"/>
        <n v="8499.41"/>
        <n v="4284.03"/>
        <n v="3099.02"/>
        <n v="3320.42"/>
        <n v="7154.95"/>
        <n v="8186.12"/>
        <n v="1897.98"/>
        <n v="3772.32"/>
        <n v="9029.2099999999991"/>
        <n v="8086.27"/>
        <n v="9850.1"/>
        <n v="7567.06"/>
        <n v="3992.63"/>
        <n v="5947.31"/>
        <n v="6644.04"/>
        <n v="876.71"/>
        <n v="5490.52"/>
        <n v="7122.28"/>
        <n v="1756.48"/>
        <n v="7828.25"/>
        <n v="5879.35"/>
        <n v="9527"/>
        <n v="519.98"/>
        <n v="2726.73"/>
        <n v="6055.38"/>
        <n v="3035.94"/>
        <n v="7172.8"/>
        <n v="7614.15"/>
        <n v="1114.9100000000001"/>
        <n v="5187.16"/>
        <n v="5138.0200000000004"/>
        <n v="3755.88"/>
        <n v="9335.9599999999991"/>
        <n v="8292.31"/>
        <n v="7002.37"/>
        <n v="7171.83"/>
        <n v="4670.99"/>
        <n v="9217.85"/>
        <n v="6976.49"/>
        <n v="7316.91"/>
        <n v="8630.74"/>
        <n v="2813.31"/>
        <n v="8090"/>
        <n v="2032.88"/>
        <n v="3518.89"/>
        <n v="3422.54"/>
        <n v="9787.4"/>
        <n v="8579.7199999999993"/>
        <n v="7041.58"/>
        <n v="7297.86"/>
        <n v="5664.52"/>
        <n v="9476.2000000000007"/>
        <n v="5012.96"/>
        <n v="3867.13"/>
        <n v="1714.05"/>
        <n v="7883.44"/>
        <n v="7370.99"/>
        <n v="3905.11"/>
        <n v="349.41"/>
        <n v="8406.07"/>
        <n v="213.04"/>
        <n v="7066.63"/>
        <n v="9705.5499999999993"/>
        <n v="4432.8500000000004"/>
        <n v="2426.2399999999998"/>
        <n v="7078.22"/>
        <n v="8189.57"/>
        <n v="5509.66"/>
        <n v="9673.65"/>
        <n v="611.52"/>
        <n v="5097.4799999999996"/>
        <n v="7212.69"/>
        <n v="8640.14"/>
        <n v="1874.63"/>
        <n v="8020.03"/>
        <n v="5571.8"/>
        <n v="4025.88"/>
        <n v="1403.98"/>
        <n v="8666.43"/>
        <n v="1657"/>
        <n v="3166.9"/>
        <n v="2971.45"/>
        <n v="8727"/>
        <n v="6759.76"/>
        <n v="7987.15"/>
        <n v="2579.63"/>
        <n v="6286.25"/>
        <n v="5760.29"/>
        <n v="8345.02"/>
        <n v="9070.26"/>
        <n v="220.35"/>
        <n v="6772.8"/>
        <n v="613.16999999999996"/>
        <n v="5533.7"/>
        <n v="2947.56"/>
        <n v="3137.09"/>
        <n v="3594.29"/>
        <n v="6250.8"/>
        <n v="3407.09"/>
        <n v="7353.72"/>
        <n v="4104.82"/>
        <n v="776.7"/>
        <n v="7859.22"/>
        <n v="2929.01"/>
        <n v="4384.3900000000003"/>
        <n v="6885.89"/>
        <n v="3391.32"/>
        <n v="660.2"/>
        <n v="3801.82"/>
        <n v="9450.0400000000009"/>
        <n v="6453.17"/>
        <n v="6747.64"/>
        <n v="6359.59"/>
        <n v="2070.02"/>
        <n v="4241.51"/>
        <n v="7534.3"/>
        <n v="1103.5899999999999"/>
        <n v="2850.74"/>
        <n v="2835.56"/>
        <n v="4376.99"/>
        <n v="9805.65"/>
        <n v="768.28"/>
        <n v="5235.1400000000003"/>
        <n v="1875.71"/>
        <n v="9709.7000000000007"/>
        <n v="1221.7"/>
        <n v="4095.65"/>
        <n v="7405.06"/>
        <n v="7075.09"/>
        <n v="4285.01"/>
        <n v="3530.59"/>
        <n v="4036.36"/>
        <n v="2716.34"/>
        <n v="2132.8000000000002"/>
        <n v="4882.09"/>
        <n v="2758.48"/>
        <n v="2945.87"/>
        <n v="6601.89"/>
        <n v="9688.52"/>
        <n v="6076.01"/>
        <n v="862.1"/>
        <n v="848.28"/>
        <n v="9519.09"/>
        <n v="3043.18"/>
        <n v="1011.46"/>
        <n v="6030.54"/>
        <n v="6274.12"/>
        <n v="6520.2"/>
        <n v="2747.28"/>
        <n v="249.6"/>
        <n v="9653.65"/>
        <n v="2583.84"/>
        <n v="6792.66"/>
        <n v="7095.64"/>
        <n v="6139.07"/>
        <n v="3197.78"/>
        <n v="2783.85"/>
        <n v="6016.92"/>
        <n v="8674.35"/>
        <n v="9472.66"/>
        <n v="1148.47"/>
        <n v="1632.8"/>
        <n v="9452.89"/>
        <n v="7391.7"/>
        <n v="8841.64"/>
        <n v="2106.06"/>
        <n v="5917.1"/>
        <n v="7041.28"/>
        <n v="6833.11"/>
        <n v="4140.7"/>
        <n v="252.41"/>
        <n v="5870.97"/>
        <n v="2605.71"/>
        <n v="4557.5200000000004"/>
        <n v="9580.0499999999993"/>
        <n v="4050.45"/>
        <n v="8414.0400000000009"/>
        <n v="1966.55"/>
        <n v="6757.36"/>
        <n v="9772.3700000000008"/>
        <n v="1108.74"/>
        <n v="182.37"/>
        <n v="4392.47"/>
        <n v="1016.99"/>
        <n v="7509.01"/>
        <n v="9154.0300000000007"/>
        <n v="4396.8100000000004"/>
        <n v="2661.25"/>
        <n v="4400.59"/>
        <n v="7262.13"/>
        <n v="189.64"/>
        <n v="5935.59"/>
        <n v="6171.59"/>
        <n v="6413.11"/>
        <n v="2496.02"/>
        <n v="7169.12"/>
        <n v="1004.78"/>
        <n v="2072.7800000000002"/>
        <n v="8786.9500000000007"/>
        <n v="7413.36"/>
        <n v="236.08"/>
        <n v="2558.92"/>
        <n v="2222.62"/>
        <n v="2780.98"/>
        <n v="2550.84"/>
        <n v="719.01"/>
        <n v="4643.51"/>
        <n v="7354.06"/>
        <n v="6106.64"/>
        <n v="6761.43"/>
        <n v="903.38"/>
        <n v="9519.76"/>
        <n v="8401.07"/>
        <n v="8070.39"/>
        <n v="8247.5400000000009"/>
        <n v="9333.83"/>
        <n v="5488.11"/>
        <n v="2082.79"/>
        <n v="6206.16"/>
        <n v="7454.53"/>
        <n v="7405.38"/>
        <n v="5262.35"/>
        <n v="777.74"/>
        <n v="3774.02"/>
        <n v="9215.59"/>
        <n v="5886.04"/>
        <n v="5429.49"/>
        <n v="2761.65"/>
        <n v="3747.64"/>
        <n v="8963.93"/>
        <n v="6697.98"/>
        <n v="7895.13"/>
        <n v="4598.0200000000004"/>
        <n v="6339.45"/>
        <n v="2559"/>
        <n v="7084.06"/>
        <n v="4333.25"/>
        <n v="4481.2"/>
        <n v="6528.29"/>
        <n v="9369.18"/>
        <n v="733.66"/>
        <n v="8264.9599999999991"/>
        <n v="2994.59"/>
        <n v="4494.8"/>
        <n v="316.94"/>
        <n v="3080.36"/>
        <n v="5076.05"/>
        <n v="656.14"/>
        <n v="4961.8500000000004"/>
        <n v="9278.4"/>
        <n v="1143.3900000000001"/>
        <n v="7667.96"/>
        <n v="4155.74"/>
        <n v="6586.22"/>
        <n v="2676.34"/>
        <n v="1678.97"/>
        <n v="1688.58"/>
        <n v="797.87"/>
        <n v="1937.9"/>
        <n v="6675.77"/>
        <n v="8828.74"/>
        <n v="8159.84"/>
        <n v="6882.83"/>
        <n v="1193.28"/>
        <n v="2962.96"/>
        <n v="3167.09"/>
        <n v="2574.5700000000002"/>
        <n v="5198.5600000000004"/>
        <n v="5401.98"/>
        <n v="3633.17"/>
        <n v="3602.51"/>
        <n v="8302.7000000000007"/>
        <n v="7914"/>
        <n v="3147.18"/>
        <n v="9146.51"/>
        <n v="9532.8700000000008"/>
        <n v="3334.75"/>
        <n v="3608.81"/>
        <n v="5105.78"/>
        <n v="9417.1"/>
        <n v="8775.56"/>
        <n v="1115.42"/>
        <n v="3988.03"/>
        <n v="5578.37"/>
        <n v="5081.01"/>
        <n v="2019.24"/>
        <n v="8602.2900000000009"/>
        <n v="6801.71"/>
        <n v="8395.2900000000009"/>
        <n v="8601.77"/>
        <n v="7508.72"/>
        <n v="4448.18"/>
        <n v="6144.41"/>
        <n v="1687.62"/>
        <n v="6769.09"/>
        <n v="1874.61"/>
        <n v="6970.1"/>
        <n v="2373.02"/>
        <n v="1263.76"/>
        <n v="1736.32"/>
        <n v="119.72"/>
        <n v="7215.52"/>
        <n v="7350.77"/>
        <n v="5197.84"/>
        <n v="1697.49"/>
        <n v="927.19"/>
        <n v="289.38"/>
        <n v="1740.91"/>
        <n v="8919.4699999999993"/>
        <n v="2491.21"/>
        <n v="3607.29"/>
        <n v="1142.92"/>
        <n v="2301.38"/>
        <n v="5240.32"/>
        <n v="2528.9899999999998"/>
        <n v="671.55"/>
        <n v="3971.23"/>
        <n v="2418.61"/>
        <n v="2273.58"/>
        <n v="9602.64"/>
        <n v="6201.37"/>
        <n v="5613.1"/>
        <n v="4216.17"/>
        <n v="4346.55"/>
        <n v="5454.96"/>
        <n v="6994.66"/>
        <n v="7051.25"/>
        <n v="1799.77"/>
        <n v="5051.12"/>
        <n v="4178.3900000000003"/>
        <n v="8718.2199999999993"/>
        <n v="6351.05"/>
        <n v="5371.79"/>
        <n v="1242.4100000000001"/>
        <n v="6095.82"/>
        <n v="1260.32"/>
        <n v="3438.35"/>
        <n v="1514.14"/>
        <n v="6951.53"/>
        <n v="2141.9"/>
        <n v="3979.41"/>
        <n v="8967.18"/>
        <n v="2122.73"/>
        <n v="5127.2700000000004"/>
        <n v="4250.79"/>
        <n v="279.43"/>
        <n v="7948.31"/>
        <n v="783.55"/>
        <n v="4795.12"/>
        <n v="5650.72"/>
        <n v="6321.42"/>
        <n v="6917.45"/>
        <n v="2607.4"/>
        <n v="198.79"/>
        <n v="7262.09"/>
        <n v="5403"/>
        <n v="8377.57"/>
        <n v="8231.74"/>
        <n v="8448.93"/>
        <n v="4902.4399999999996"/>
        <n v="3402.92"/>
        <n v="7936.43"/>
        <n v="4567.8100000000004"/>
        <n v="1916.08"/>
        <n v="8564.24"/>
        <n v="8837.34"/>
        <n v="4716.47"/>
        <n v="849.43"/>
        <n v="3939.48"/>
        <n v="8055.02"/>
        <n v="9027.56"/>
        <n v="2114.38"/>
        <n v="763.04"/>
        <n v="8785.77"/>
        <n v="3955.11"/>
        <n v="5463.43"/>
        <n v="9683.85"/>
        <n v="758.99"/>
        <n v="6518.35"/>
        <n v="833.64"/>
        <n v="3817.14"/>
        <n v="8057.76"/>
        <n v="4391.38"/>
        <n v="9972.11"/>
        <n v="5634.69"/>
        <n v="3279.51"/>
        <n v="2279.1"/>
        <n v="3570.15"/>
        <n v="3788.08"/>
        <n v="780.27"/>
        <n v="3758.78"/>
        <n v="4695.96"/>
        <n v="7255.1"/>
        <n v="6601.62"/>
        <n v="7116.78"/>
        <n v="182.8"/>
        <n v="2254.91"/>
        <n v="6650.67"/>
        <n v="4891.49"/>
        <n v="152.6"/>
        <n v="8064.5"/>
        <n v="7750.81"/>
        <n v="5529.35"/>
        <n v="757.99"/>
        <n v="7688.5"/>
        <n v="5878.76"/>
        <n v="7841.4"/>
        <n v="7542.3"/>
        <n v="8049.72"/>
        <n v="5228.28"/>
        <n v="1489.21"/>
        <n v="6744.46"/>
        <n v="6242.69"/>
        <n v="7448.31"/>
        <n v="1781.82"/>
        <n v="2030.25"/>
        <n v="8915.0499999999993"/>
        <n v="7524.78"/>
        <n v="9091.4599999999991"/>
        <n v="7611.28"/>
        <n v="6011.84"/>
        <n v="6575.91"/>
        <n v="8902.3700000000008"/>
        <n v="5830.19"/>
        <n v="6360.67"/>
        <n v="1649.12"/>
        <n v="4791.82"/>
        <n v="7192.33"/>
        <n v="2782.33"/>
        <n v="2102.3200000000002"/>
        <n v="3206.89"/>
        <n v="2490.86"/>
        <n v="2227.64"/>
        <n v="4306.0200000000004"/>
        <n v="9087.6"/>
        <n v="5119.8900000000003"/>
        <n v="1960.41"/>
        <n v="862.02"/>
        <n v="6991.95"/>
        <n v="3889.71"/>
        <n v="8236.1299999999992"/>
        <n v="6629.16"/>
        <n v="7982.79"/>
        <n v="2792.27"/>
        <n v="6954.35"/>
        <n v="2714.21"/>
        <n v="9396.7800000000007"/>
        <n v="6400.11"/>
        <n v="3312.67"/>
        <n v="2768.17"/>
        <n v="1990.17"/>
        <n v="6976.95"/>
        <n v="2265.2800000000002"/>
        <n v="5993.5"/>
        <n v="2719.89"/>
        <n v="6653.49"/>
        <n v="8167.9"/>
        <n v="7802.45"/>
        <n v="7632.43"/>
        <n v="1958.45"/>
        <n v="975.01"/>
        <n v="7019.59"/>
        <n v="3746.64"/>
        <n v="4380.2299999999996"/>
        <n v="408.38"/>
        <n v="2669.81"/>
        <n v="433.4"/>
        <n v="8803.94"/>
        <n v="2509.63"/>
        <n v="5617.64"/>
        <n v="485.9"/>
        <n v="6701.79"/>
        <n v="3297.97"/>
        <n v="8989.4"/>
        <n v="8892.3700000000008"/>
        <n v="3320.38"/>
        <n v="9019.51"/>
        <n v="9961.9599999999991"/>
        <n v="8271.6200000000008"/>
        <n v="8464.23"/>
        <n v="2565.19"/>
        <n v="5809.35"/>
        <n v="765.83"/>
        <n v="1039.69"/>
        <n v="9989.0400000000009"/>
        <n v="3333.73"/>
        <n v="7507.02"/>
        <n v="8085.98"/>
        <n v="8594.43"/>
        <n v="9976.52"/>
        <n v="2490.8200000000002"/>
        <n v="499.47"/>
        <n v="4170.8"/>
        <n v="1387.8"/>
        <n v="322.02"/>
        <n v="3668.23"/>
        <n v="7859.01"/>
        <n v="5705.19"/>
        <n v="3196.5"/>
        <n v="6577.99"/>
        <n v="2396.98"/>
        <n v="242.38"/>
        <n v="7667.1"/>
        <n v="6275.06"/>
        <n v="7646.8"/>
        <n v="485.49"/>
        <n v="8387.48"/>
        <n v="6233.31"/>
        <n v="5677.61"/>
        <n v="6283.68"/>
        <n v="8657.89"/>
        <n v="5910.67"/>
        <n v="5851.41"/>
        <n v="9907.7199999999993"/>
        <n v="7591.63"/>
        <n v="4478.71"/>
        <n v="7103.23"/>
        <n v="3953.38"/>
        <n v="2365.87"/>
        <n v="6008.83"/>
        <n v="9289"/>
        <n v="9298.48"/>
        <n v="3484.86"/>
        <n v="5324.01"/>
        <n v="2195.1999999999998"/>
        <n v="9956.75"/>
        <n v="9813.07"/>
        <n v="6530.14"/>
        <n v="8063.7"/>
        <n v="7179.49"/>
        <n v="5972.27"/>
        <n v="628.15"/>
        <n v="4602.17"/>
        <n v="6780.38"/>
        <n v="6807.56"/>
        <n v="3793.91"/>
        <n v="9422.75"/>
        <n v="1756.83"/>
        <n v="5053.5600000000004"/>
        <n v="6939.75"/>
        <n v="7001.64"/>
        <n v="6521.53"/>
        <n v="2825.35"/>
        <n v="1646.45"/>
        <n v="6395.81"/>
        <n v="6033.09"/>
        <n v="1875.62"/>
        <n v="7080.88"/>
        <n v="4606.2"/>
        <n v="6710.83"/>
        <n v="8389.93"/>
        <n v="1780.31"/>
        <n v="289.52999999999997"/>
        <n v="7813.12"/>
        <n v="6136"/>
        <n v="7026.43"/>
        <n v="8397.73"/>
        <n v="8047.83"/>
        <n v="9613.11"/>
        <n v="5405.76"/>
        <n v="4936.1099999999997"/>
        <n v="4078.68"/>
        <n v="1621.54"/>
        <n v="5768.81"/>
        <n v="2842.42"/>
        <n v="9220.94"/>
        <n v="5873.59"/>
        <n v="5969.12"/>
        <n v="3613.75"/>
        <n v="614.69000000000005"/>
        <n v="414.26"/>
        <n v="4291.0200000000004"/>
        <n v="937.2"/>
        <n v="6107.78"/>
        <n v="8821.6299999999992"/>
        <n v="8840.86"/>
        <n v="6624.55"/>
        <n v="2191.1999999999998"/>
        <n v="8643.67"/>
        <n v="8872.33"/>
        <n v="2046.87"/>
        <n v="7400.52"/>
        <n v="2936.54"/>
        <n v="8046.14"/>
        <n v="9972.66"/>
        <n v="397.26"/>
        <n v="8983.92"/>
        <n v="6264.04"/>
        <n v="9736.49"/>
        <n v="4703.59"/>
        <n v="8489.14"/>
        <n v="717.7"/>
        <n v="3419.26"/>
        <n v="763.46"/>
        <n v="9755.9"/>
        <n v="8188.04"/>
        <n v="8540.2199999999993"/>
        <n v="9385.86"/>
        <n v="942.52"/>
        <n v="3917.42"/>
        <n v="803.25"/>
        <n v="2186.85"/>
        <n v="2370.7199999999998"/>
        <n v="4744.16"/>
        <n v="2758.77"/>
        <n v="1099.68"/>
        <n v="1758.16"/>
        <n v="1558.03"/>
        <n v="9733.4599999999991"/>
        <n v="7617"/>
        <n v="9680.84"/>
        <n v="4453.43"/>
        <n v="2855.85"/>
        <n v="8003.1"/>
        <n v="3329.91"/>
        <n v="3063.9"/>
        <n v="2401.81"/>
        <n v="1383.82"/>
        <n v="2638.98"/>
        <n v="3617.67"/>
        <n v="6772.54"/>
        <n v="719.39"/>
        <n v="2184.02"/>
        <n v="8109.33"/>
        <n v="1554.53"/>
        <n v="3492.19"/>
        <n v="8660.1200000000008"/>
        <n v="1633.76"/>
        <n v="919.09"/>
        <n v="4896.93"/>
        <n v="3093.95"/>
        <n v="5677.74"/>
        <n v="8057.67"/>
        <n v="1457.77"/>
        <n v="5848.92"/>
        <n v="5104.54"/>
        <n v="1526.38"/>
        <n v="6277.59"/>
        <n v="2809.04"/>
        <n v="4929.5600000000004"/>
        <n v="914.5"/>
        <n v="4649.88"/>
        <n v="3133.99"/>
        <n v="8241.57"/>
        <n v="664.09"/>
        <n v="4244.21"/>
        <n v="4638.47"/>
        <n v="7277.56"/>
        <n v="5785.45"/>
        <n v="6705.4"/>
        <n v="7792.79"/>
        <n v="8635.81"/>
        <n v="3207.37"/>
        <n v="5426.42"/>
        <n v="8417.07"/>
        <n v="9895.57"/>
        <n v="8906.24"/>
        <n v="3777.53"/>
        <n v="2032.15"/>
        <n v="4944.99"/>
        <n v="7442.25"/>
        <n v="4976.43"/>
        <n v="4883.49"/>
        <n v="8398.48"/>
        <n v="3677.9"/>
        <n v="8611.9699999999993"/>
        <n v="4127.37"/>
        <n v="3349.51"/>
        <n v="4594.5"/>
        <n v="7648.22"/>
        <n v="1347.42"/>
        <n v="2044.55"/>
        <n v="9519.2999999999993"/>
        <n v="1837.37"/>
        <n v="5720.5"/>
        <n v="5835.21"/>
        <n v="4947.28"/>
        <n v="6482.98"/>
        <n v="2375.2800000000002"/>
        <n v="5571.36"/>
        <n v="3784.52"/>
        <n v="6650.51"/>
        <n v="1498.11"/>
        <n v="5751.69"/>
        <n v="1934.18"/>
        <n v="2858.57"/>
        <n v="2265.23"/>
        <n v="1910.09"/>
        <n v="8274.5400000000009"/>
        <n v="2928.5"/>
        <n v="9278.5300000000007"/>
        <n v="9702.27"/>
        <n v="5755.48"/>
        <n v="1515.71"/>
        <n v="3808.03"/>
        <n v="7997.55"/>
        <n v="3737.17"/>
        <n v="961.47"/>
        <n v="5612.17"/>
        <n v="8466.7000000000007"/>
        <n v="7979.67"/>
        <n v="1833.72"/>
        <n v="6760.37"/>
        <n v="2282.9899999999998"/>
        <n v="2260.25"/>
        <n v="8753.31"/>
        <n v="2571.7199999999998"/>
        <n v="2706.15"/>
        <n v="106.47"/>
        <n v="8719.6200000000008"/>
        <n v="6310.56"/>
        <n v="7527.63"/>
        <n v="1605.28"/>
        <n v="4637.3999999999996"/>
        <n v="3577.07"/>
        <n v="1028.3900000000001"/>
        <n v="4912.6899999999996"/>
        <n v="9215.32"/>
        <n v="496.59"/>
        <n v="2985.46"/>
        <n v="2154.66"/>
        <n v="2457.65"/>
        <n v="9093.5"/>
        <n v="4733.88"/>
        <n v="4716.3599999999997"/>
        <n v="7629.7"/>
        <n v="1629.47"/>
        <n v="4923.93"/>
      </sharedItems>
    </cacheField>
    <cacheField name="Quantity_Sold" numFmtId="1">
      <sharedItems containsSemiMixedTypes="0" containsString="0" containsNumber="1" containsInteger="1" minValue="1" maxValue="49"/>
    </cacheField>
    <cacheField name="Product_Category" numFmtId="49">
      <sharedItems containsBlank="1" count="5">
        <s v="Furniture"/>
        <s v="Food"/>
        <s v="Clothing"/>
        <s v="Electronics"/>
        <m u="1"/>
      </sharedItems>
    </cacheField>
    <cacheField name="Unit_Cost" numFmtId="44">
      <sharedItems containsSemiMixedTypes="0" containsString="0" containsNumber="1" minValue="60.28" maxValue="4995.3"/>
    </cacheField>
    <cacheField name="Unit_Price" numFmtId="44">
      <sharedItems containsSemiMixedTypes="0" containsString="0" containsNumber="1" minValue="167.12" maxValue="5442.15"/>
    </cacheField>
    <cacheField name="Customer_Type" numFmtId="49">
      <sharedItems/>
    </cacheField>
    <cacheField name="Discount" numFmtId="10">
      <sharedItems containsSemiMixedTypes="0" containsString="0" containsNumber="1" minValue="0" maxValue="0.3"/>
    </cacheField>
    <cacheField name="Payment_Method" numFmtId="49">
      <sharedItems/>
    </cacheField>
    <cacheField name="Sales_Channel" numFmtId="49">
      <sharedItems/>
    </cacheField>
    <cacheField name="Region_and_Sales_Rep" numFmtId="11">
      <sharedItems/>
    </cacheField>
    <cacheField name="Profit" numFmtId="166">
      <sharedItems containsSemiMixedTypes="0" containsString="0" containsNumber="1" minValue="17.360000000000127" maxValue="23441.109999999528"/>
    </cacheField>
    <cacheField name="Margin" numFmtId="10">
      <sharedItems containsSemiMixedTypes="0" containsString="0" containsNumber="1" minValue="2.214540347844816E-3" maxValue="0.84173778122575649"/>
    </cacheField>
    <cacheField name="Sales_Calculated" numFmtId="44">
      <sharedItems containsSemiMixedTypes="0" containsString="0" containsNumber="1" minValue="211.18" maxValue="252147.36"/>
    </cacheField>
    <cacheField name="Meses (Sale_Date)" numFmtId="0" databaseField="0">
      <fieldGroup base="1">
        <rangePr groupBy="months" startDate="2023-01-01T00:00:00" endDate="2024-01-02T00:00:00"/>
        <groupItems count="14">
          <s v="&lt;01/01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1/2024"/>
        </groupItems>
      </fieldGroup>
    </cacheField>
    <cacheField name="Años (Sale_Date)" numFmtId="0" databaseField="0">
      <fieldGroup base="1">
        <rangePr groupBy="years" startDate="2023-01-01T00:00:00" endDate="2024-01-02T00:00:00"/>
        <groupItems count="4">
          <s v="&lt;01/01/2023"/>
          <s v="2023"/>
          <s v="2024"/>
          <s v="&gt;02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x v="0"/>
    <s v="Bob"/>
    <s v="North"/>
    <x v="0"/>
    <n v="18"/>
    <x v="0"/>
    <n v="152.75"/>
    <n v="267.22000000000003"/>
    <s v="Returning"/>
    <n v="0.09"/>
    <s v="Cash"/>
    <s v="Online"/>
    <s v="North-Bob"/>
    <n v="2060.4600000000005"/>
    <n v="0.42837362472868801"/>
    <n v="4809.9600000000009"/>
  </r>
  <r>
    <n v="1093"/>
    <x v="1"/>
    <s v="Bob"/>
    <s v="West"/>
    <x v="1"/>
    <n v="17"/>
    <x v="0"/>
    <n v="3816.39"/>
    <n v="4209.4399999999996"/>
    <s v="Returning"/>
    <n v="0.11"/>
    <s v="Cash"/>
    <s v="Retail"/>
    <s v="West-Bob"/>
    <n v="6681.8499999999949"/>
    <n v="9.3373465354061283E-2"/>
    <n v="71560.479999999996"/>
  </r>
  <r>
    <n v="1015"/>
    <x v="2"/>
    <s v="David"/>
    <s v="South"/>
    <x v="2"/>
    <n v="30"/>
    <x v="1"/>
    <n v="261.56"/>
    <n v="371.4"/>
    <s v="Returning"/>
    <n v="0.2"/>
    <s v="Bank Transfer"/>
    <s v="Retail"/>
    <s v="South-David"/>
    <n v="3295.1999999999994"/>
    <n v="0.29574582660204624"/>
    <n v="11142"/>
  </r>
  <r>
    <n v="1072"/>
    <x v="3"/>
    <s v="Bob"/>
    <s v="South"/>
    <x v="3"/>
    <n v="39"/>
    <x v="2"/>
    <n v="4330.03"/>
    <n v="4467.75"/>
    <s v="New"/>
    <n v="0.02"/>
    <s v="Credit Card"/>
    <s v="Retail"/>
    <s v="South-Bob"/>
    <n v="5371.0800000000099"/>
    <n v="3.0825359521011751E-2"/>
    <n v="174242.25"/>
  </r>
  <r>
    <n v="1061"/>
    <x v="4"/>
    <s v="Charlie"/>
    <s v="East"/>
    <x v="4"/>
    <n v="13"/>
    <x v="3"/>
    <n v="637.37"/>
    <n v="692.71"/>
    <s v="New"/>
    <n v="0.08"/>
    <s v="Credit Card"/>
    <s v="Online"/>
    <s v="East-Charlie"/>
    <n v="719.42000000000041"/>
    <n v="7.9889131093819968E-2"/>
    <n v="9005.23"/>
  </r>
  <r>
    <n v="1021"/>
    <x v="5"/>
    <s v="Charlie"/>
    <s v="West"/>
    <x v="5"/>
    <n v="32"/>
    <x v="1"/>
    <n v="900.79"/>
    <n v="1106.51"/>
    <s v="New"/>
    <n v="0.21"/>
    <s v="Cash"/>
    <s v="Online"/>
    <s v="West-Charlie"/>
    <n v="6583.0400000000009"/>
    <n v="0.18591788596578435"/>
    <n v="35408.32"/>
  </r>
  <r>
    <n v="1083"/>
    <x v="6"/>
    <s v="Bob"/>
    <s v="West"/>
    <x v="6"/>
    <n v="29"/>
    <x v="0"/>
    <n v="2408.81"/>
    <n v="2624.09"/>
    <s v="Returning"/>
    <n v="0.14000000000000001"/>
    <s v="Cash"/>
    <s v="Online"/>
    <s v="West-Bob"/>
    <n v="6243.1200000000063"/>
    <n v="8.2039869059369233E-2"/>
    <n v="76098.61"/>
  </r>
  <r>
    <n v="1087"/>
    <x v="7"/>
    <s v="Eve"/>
    <s v="South"/>
    <x v="7"/>
    <n v="46"/>
    <x v="0"/>
    <n v="3702.51"/>
    <n v="3964.65"/>
    <s v="New"/>
    <n v="0.12"/>
    <s v="Bank Transfer"/>
    <s v="Online"/>
    <s v="South-Eve"/>
    <n v="12058.439999999995"/>
    <n v="6.6119329575120095E-2"/>
    <n v="182373.9"/>
  </r>
  <r>
    <n v="1075"/>
    <x v="8"/>
    <s v="David"/>
    <s v="South"/>
    <x v="8"/>
    <n v="30"/>
    <x v="0"/>
    <n v="738.06"/>
    <n v="1095.44999999999"/>
    <s v="New"/>
    <n v="0.05"/>
    <s v="Bank Transfer"/>
    <s v="Online"/>
    <s v="South-David"/>
    <n v="10721.699999999702"/>
    <n v="0.32624948651238606"/>
    <n v="32863.499999999702"/>
  </r>
  <r>
    <n v="1075"/>
    <x v="9"/>
    <s v="Charlie"/>
    <s v="West"/>
    <x v="9"/>
    <n v="18"/>
    <x v="2"/>
    <n v="2228.35"/>
    <n v="2682.34"/>
    <s v="New"/>
    <n v="0.13"/>
    <s v="Bank Transfer"/>
    <s v="Online"/>
    <s v="West-Charlie"/>
    <n v="8171.8200000000043"/>
    <n v="0.1692514744588681"/>
    <n v="48282.12"/>
  </r>
  <r>
    <n v="1088"/>
    <x v="10"/>
    <s v="Eve"/>
    <s v="North"/>
    <x v="10"/>
    <n v="13"/>
    <x v="0"/>
    <n v="2440.11"/>
    <n v="2517.6"/>
    <s v="New"/>
    <n v="0.23"/>
    <s v="Bank Transfer"/>
    <s v="Retail"/>
    <s v="North-Eve"/>
    <n v="1007.3699999999972"/>
    <n v="3.077931363203042E-2"/>
    <n v="32728.799999999999"/>
  </r>
  <r>
    <n v="1100"/>
    <x v="11"/>
    <s v="Bob"/>
    <s v="West"/>
    <x v="11"/>
    <n v="43"/>
    <x v="1"/>
    <n v="1100.81"/>
    <n v="1137.44"/>
    <s v="Returning"/>
    <n v="0.08"/>
    <s v="Bank Transfer"/>
    <s v="Online"/>
    <s v="West-Bob"/>
    <n v="1575.0900000000047"/>
    <n v="3.2203896469264408E-2"/>
    <n v="48909.920000000006"/>
  </r>
  <r>
    <n v="1024"/>
    <x v="12"/>
    <s v="Eve"/>
    <s v="West"/>
    <x v="12"/>
    <n v="21"/>
    <x v="1"/>
    <n v="622.01"/>
    <n v="641.09"/>
    <s v="Returning"/>
    <n v="0"/>
    <s v="Bank Transfer"/>
    <s v="Retail"/>
    <s v="West-Eve"/>
    <n v="400.68000000000086"/>
    <n v="2.9761811914083888E-2"/>
    <n v="13462.890000000001"/>
  </r>
  <r>
    <n v="1003"/>
    <x v="13"/>
    <s v="Alice"/>
    <s v="South"/>
    <x v="13"/>
    <n v="30"/>
    <x v="0"/>
    <n v="4190.28"/>
    <n v="4270.6499999999996"/>
    <s v="New"/>
    <n v="0.2"/>
    <s v="Cash"/>
    <s v="Online"/>
    <s v="South-Alice"/>
    <n v="2411.0999999999967"/>
    <n v="1.8819149309824007E-2"/>
    <n v="128119.49999999999"/>
  </r>
  <r>
    <n v="1022"/>
    <x v="14"/>
    <s v="Charlie"/>
    <s v="South"/>
    <x v="14"/>
    <n v="21"/>
    <x v="1"/>
    <n v="2537.1999999999998"/>
    <n v="2869.6"/>
    <s v="New"/>
    <n v="0.28999999999999998"/>
    <s v="Bank Transfer"/>
    <s v="Retail"/>
    <s v="South-Charlie"/>
    <n v="6980.4000000000015"/>
    <n v="0.11583495957624759"/>
    <n v="60261.599999999999"/>
  </r>
  <r>
    <n v="1053"/>
    <x v="15"/>
    <s v="Bob"/>
    <s v="North"/>
    <x v="15"/>
    <n v="48"/>
    <x v="0"/>
    <n v="121.19"/>
    <n v="487.65"/>
    <s v="New"/>
    <n v="0.18"/>
    <s v="Cash"/>
    <s v="Retail"/>
    <s v="North-Bob"/>
    <n v="17590.079999999998"/>
    <n v="0.75148159540654158"/>
    <n v="23407.199999999997"/>
  </r>
  <r>
    <n v="1002"/>
    <x v="16"/>
    <s v="David"/>
    <s v="North"/>
    <x v="16"/>
    <n v="17"/>
    <x v="0"/>
    <n v="4024.76"/>
    <n v="4420.1499999999996"/>
    <s v="Returning"/>
    <n v="0.04"/>
    <s v="Cash"/>
    <s v="Online"/>
    <s v="North-David"/>
    <n v="6721.6299999999901"/>
    <n v="8.9451715439521171E-2"/>
    <n v="75142.549999999988"/>
  </r>
  <r>
    <n v="1088"/>
    <x v="17"/>
    <s v="Bob"/>
    <s v="East"/>
    <x v="17"/>
    <n v="40"/>
    <x v="3"/>
    <n v="4904.93"/>
    <n v="5034.3500000000004"/>
    <s v="New"/>
    <n v="0.1"/>
    <s v="Credit Card"/>
    <s v="Retail"/>
    <s v="East-Bob"/>
    <n v="5176.8000000000029"/>
    <n v="2.570739022912592E-2"/>
    <n v="201374"/>
  </r>
  <r>
    <n v="1030"/>
    <x v="18"/>
    <s v="David"/>
    <s v="West"/>
    <x v="18"/>
    <n v="19"/>
    <x v="2"/>
    <n v="3049.33"/>
    <n v="3209.22"/>
    <s v="Returning"/>
    <n v="0.26"/>
    <s v="Cash"/>
    <s v="Online"/>
    <s v="West-David"/>
    <n v="3037.9099999999976"/>
    <n v="4.9822075145985592E-2"/>
    <n v="60975.179999999993"/>
  </r>
  <r>
    <n v="1038"/>
    <x v="19"/>
    <s v="Bob"/>
    <s v="South"/>
    <x v="19"/>
    <n v="15"/>
    <x v="2"/>
    <n v="2543.36"/>
    <n v="2790.1"/>
    <s v="Returning"/>
    <n v="7.0000000000000007E-2"/>
    <s v="Cash"/>
    <s v="Online"/>
    <s v="South-Bob"/>
    <n v="3701.0999999999967"/>
    <n v="8.8434106304433449E-2"/>
    <n v="41851.5"/>
  </r>
  <r>
    <n v="1002"/>
    <x v="20"/>
    <s v="Eve"/>
    <s v="North"/>
    <x v="20"/>
    <n v="9"/>
    <x v="3"/>
    <n v="4398.16"/>
    <n v="4439.12"/>
    <s v="New"/>
    <n v="0.18"/>
    <s v="Bank Transfer"/>
    <s v="Online"/>
    <s v="North-Eve"/>
    <n v="368.64000000000033"/>
    <n v="9.227054010704833E-3"/>
    <n v="39952.080000000002"/>
  </r>
  <r>
    <n v="1064"/>
    <x v="21"/>
    <s v="Eve"/>
    <s v="East"/>
    <x v="21"/>
    <n v="10"/>
    <x v="3"/>
    <n v="4764.96"/>
    <n v="5074.42"/>
    <s v="New"/>
    <n v="0.12"/>
    <s v="Cash"/>
    <s v="Online"/>
    <s v="East-Eve"/>
    <n v="3094.6000000000004"/>
    <n v="6.0984309536853486E-2"/>
    <n v="50744.2"/>
  </r>
  <r>
    <n v="1060"/>
    <x v="22"/>
    <s v="Eve"/>
    <s v="East"/>
    <x v="22"/>
    <n v="44"/>
    <x v="2"/>
    <n v="3784.96"/>
    <n v="4276.99"/>
    <s v="New"/>
    <n v="0.06"/>
    <s v="Bank Transfer"/>
    <s v="Retail"/>
    <s v="East-Eve"/>
    <n v="21649.319999999989"/>
    <n v="0.1150411855066296"/>
    <n v="188187.56"/>
  </r>
  <r>
    <n v="1021"/>
    <x v="23"/>
    <s v="Alice"/>
    <s v="South"/>
    <x v="23"/>
    <n v="31"/>
    <x v="0"/>
    <n v="2254.9899999999998"/>
    <n v="2441.79"/>
    <s v="Returning"/>
    <n v="0.24"/>
    <s v="Bank Transfer"/>
    <s v="Online"/>
    <s v="South-Alice"/>
    <n v="5790.8000000000056"/>
    <n v="7.6501255226698511E-2"/>
    <n v="75695.490000000005"/>
  </r>
  <r>
    <n v="1033"/>
    <x v="24"/>
    <s v="David"/>
    <s v="South"/>
    <x v="24"/>
    <n v="23"/>
    <x v="0"/>
    <n v="2981.5"/>
    <n v="3360.4"/>
    <s v="Returning"/>
    <n v="0.22"/>
    <s v="Bank Transfer"/>
    <s v="Retail"/>
    <s v="South-David"/>
    <n v="8714.7000000000025"/>
    <n v="0.1127544339959529"/>
    <n v="77289.2"/>
  </r>
  <r>
    <n v="1076"/>
    <x v="22"/>
    <s v="Eve"/>
    <s v="East"/>
    <x v="25"/>
    <n v="30"/>
    <x v="2"/>
    <n v="3519.63"/>
    <n v="3774.65"/>
    <s v="New"/>
    <n v="0.2"/>
    <s v="Credit Card"/>
    <s v="Retail"/>
    <s v="East-Eve"/>
    <n v="7650.5999999999995"/>
    <n v="6.7561230842594674E-2"/>
    <n v="113239.5"/>
  </r>
  <r>
    <n v="1058"/>
    <x v="25"/>
    <s v="Alice"/>
    <s v="North"/>
    <x v="26"/>
    <n v="33"/>
    <x v="0"/>
    <n v="1011.65"/>
    <n v="1084.28"/>
    <s v="Returning"/>
    <n v="7.0000000000000007E-2"/>
    <s v="Bank Transfer"/>
    <s v="Retail"/>
    <s v="North-Alice"/>
    <n v="2396.79"/>
    <n v="6.6984542738038153E-2"/>
    <n v="35781.24"/>
  </r>
  <r>
    <n v="1022"/>
    <x v="26"/>
    <s v="David"/>
    <s v="East"/>
    <x v="27"/>
    <n v="9"/>
    <x v="3"/>
    <n v="2263.65"/>
    <n v="2558.9499999999998"/>
    <s v="New"/>
    <n v="0.03"/>
    <s v="Cash"/>
    <s v="Online"/>
    <s v="East-David"/>
    <n v="2657.6999999999975"/>
    <n v="0.11539889407764893"/>
    <n v="23030.55"/>
  </r>
  <r>
    <n v="1089"/>
    <x v="27"/>
    <s v="Bob"/>
    <s v="West"/>
    <x v="28"/>
    <n v="47"/>
    <x v="0"/>
    <n v="4157.62"/>
    <n v="4314.5599999999904"/>
    <s v="New"/>
    <n v="0.17"/>
    <s v="Bank Transfer"/>
    <s v="Retail"/>
    <s v="West-Bob"/>
    <n v="7376.1799999995537"/>
    <n v="3.6374508640508153E-2"/>
    <n v="202784.31999999954"/>
  </r>
  <r>
    <n v="1049"/>
    <x v="28"/>
    <s v="Alice"/>
    <s v="West"/>
    <x v="29"/>
    <n v="1"/>
    <x v="0"/>
    <n v="3290.89"/>
    <n v="3317.75"/>
    <s v="Returning"/>
    <n v="0.17"/>
    <s v="Bank Transfer"/>
    <s v="Online"/>
    <s v="West-Alice"/>
    <n v="26.860000000000127"/>
    <n v="8.0958480898199459E-3"/>
    <n v="3317.75"/>
  </r>
  <r>
    <n v="1091"/>
    <x v="29"/>
    <s v="Charlie"/>
    <s v="South"/>
    <x v="30"/>
    <n v="44"/>
    <x v="1"/>
    <n v="2085.46"/>
    <n v="2406.58"/>
    <s v="Returning"/>
    <n v="0.06"/>
    <s v="Bank Transfer"/>
    <s v="Retail"/>
    <s v="South-Charlie"/>
    <n v="14129.279999999995"/>
    <n v="0.13343416798942895"/>
    <n v="105889.51999999999"/>
  </r>
  <r>
    <n v="1059"/>
    <x v="30"/>
    <s v="Alice"/>
    <s v="North"/>
    <x v="31"/>
    <n v="35"/>
    <x v="1"/>
    <n v="3333.64"/>
    <n v="3764.52"/>
    <s v="Returning"/>
    <n v="0.02"/>
    <s v="Credit Card"/>
    <s v="Online"/>
    <s v="North-Alice"/>
    <n v="15080.800000000003"/>
    <n v="0.11445815137122396"/>
    <n v="131758.20000000001"/>
  </r>
  <r>
    <n v="1042"/>
    <x v="31"/>
    <s v="Alice"/>
    <s v="North"/>
    <x v="32"/>
    <n v="11"/>
    <x v="1"/>
    <n v="635.20000000000005"/>
    <n v="814.14"/>
    <s v="Returning"/>
    <n v="0.02"/>
    <s v="Cash"/>
    <s v="Online"/>
    <s v="North-Alice"/>
    <n v="1968.3399999999992"/>
    <n v="0.21979020807232166"/>
    <n v="8955.5399999999991"/>
  </r>
  <r>
    <n v="1092"/>
    <x v="32"/>
    <s v="David"/>
    <s v="West"/>
    <x v="33"/>
    <n v="34"/>
    <x v="0"/>
    <n v="2037.41"/>
    <n v="2238.65"/>
    <s v="New"/>
    <n v="0.3"/>
    <s v="Credit Card"/>
    <s v="Online"/>
    <s v="West-David"/>
    <n v="6842.16"/>
    <n v="8.9893462577892921E-2"/>
    <n v="76114.100000000006"/>
  </r>
  <r>
    <n v="1060"/>
    <x v="14"/>
    <s v="Bob"/>
    <s v="East"/>
    <x v="34"/>
    <n v="16"/>
    <x v="2"/>
    <n v="3975.99"/>
    <n v="4422.59"/>
    <s v="New"/>
    <n v="0.24"/>
    <s v="Cash"/>
    <s v="Online"/>
    <s v="East-Bob"/>
    <n v="7145.6000000000058"/>
    <n v="0.10098155153428202"/>
    <n v="70761.440000000002"/>
  </r>
  <r>
    <n v="1080"/>
    <x v="33"/>
    <s v="Charlie"/>
    <s v="South"/>
    <x v="35"/>
    <n v="9"/>
    <x v="3"/>
    <n v="1141.52"/>
    <n v="1550.19"/>
    <s v="New"/>
    <n v="0.28000000000000003"/>
    <s v="Credit Card"/>
    <s v="Retail"/>
    <s v="South-Charlie"/>
    <n v="3678.0300000000007"/>
    <n v="0.26362574910172304"/>
    <n v="13951.710000000001"/>
  </r>
  <r>
    <n v="1015"/>
    <x v="34"/>
    <s v="Eve"/>
    <s v="East"/>
    <x v="36"/>
    <n v="32"/>
    <x v="0"/>
    <n v="970.51"/>
    <n v="1330.84"/>
    <s v="Returning"/>
    <n v="0.06"/>
    <s v="Cash"/>
    <s v="Retail"/>
    <s v="East-Eve"/>
    <n v="11530.559999999998"/>
    <n v="0.27075380962399681"/>
    <n v="42586.879999999997"/>
  </r>
  <r>
    <n v="1062"/>
    <x v="7"/>
    <s v="Eve"/>
    <s v="East"/>
    <x v="37"/>
    <n v="15"/>
    <x v="2"/>
    <n v="4756.55"/>
    <n v="4888.46"/>
    <s v="New"/>
    <n v="0.28999999999999998"/>
    <s v="Credit Card"/>
    <s v="Online"/>
    <s v="East-Eve"/>
    <n v="1978.6499999999978"/>
    <n v="2.6983958138145726E-2"/>
    <n v="73326.899999999994"/>
  </r>
  <r>
    <n v="1062"/>
    <x v="35"/>
    <s v="Alice"/>
    <s v="East"/>
    <x v="38"/>
    <n v="12"/>
    <x v="0"/>
    <n v="1088.99"/>
    <n v="1545"/>
    <s v="Returning"/>
    <n v="0.04"/>
    <s v="Bank Transfer"/>
    <s v="Retail"/>
    <s v="East-Alice"/>
    <n v="5472.12"/>
    <n v="0.29515210355987054"/>
    <n v="18540"/>
  </r>
  <r>
    <n v="1047"/>
    <x v="36"/>
    <s v="David"/>
    <s v="North"/>
    <x v="39"/>
    <n v="33"/>
    <x v="3"/>
    <n v="1341.55"/>
    <n v="1427.21"/>
    <s v="Returning"/>
    <n v="0.15"/>
    <s v="Credit Card"/>
    <s v="Online"/>
    <s v="North-David"/>
    <n v="2826.7800000000025"/>
    <n v="6.0019198295976114E-2"/>
    <n v="47097.93"/>
  </r>
  <r>
    <n v="1062"/>
    <x v="37"/>
    <s v="David"/>
    <s v="West"/>
    <x v="40"/>
    <n v="45"/>
    <x v="0"/>
    <n v="4849.6000000000004"/>
    <n v="5166.72"/>
    <s v="Returning"/>
    <n v="0.25"/>
    <s v="Credit Card"/>
    <s v="Online"/>
    <s v="West-David"/>
    <n v="14270.399999999994"/>
    <n v="6.1377430942648303E-2"/>
    <n v="232502.40000000002"/>
  </r>
  <r>
    <n v="1051"/>
    <x v="21"/>
    <s v="Eve"/>
    <s v="North"/>
    <x v="41"/>
    <n v="14"/>
    <x v="3"/>
    <n v="3686.81"/>
    <n v="3710.92"/>
    <s v="New"/>
    <n v="0.1"/>
    <s v="Bank Transfer"/>
    <s v="Retail"/>
    <s v="North-Eve"/>
    <n v="337.54000000000178"/>
    <n v="6.4970411649941592E-3"/>
    <n v="51952.880000000005"/>
  </r>
  <r>
    <n v="1055"/>
    <x v="38"/>
    <s v="Charlie"/>
    <s v="West"/>
    <x v="42"/>
    <n v="8"/>
    <x v="0"/>
    <n v="3513"/>
    <n v="3838.42"/>
    <s v="Returning"/>
    <n v="0.13"/>
    <s v="Bank Transfer"/>
    <s v="Online"/>
    <s v="West-Charlie"/>
    <n v="2603.3600000000006"/>
    <n v="8.4779674970430555E-2"/>
    <n v="30707.360000000001"/>
  </r>
  <r>
    <n v="1064"/>
    <x v="39"/>
    <s v="Bob"/>
    <s v="South"/>
    <x v="43"/>
    <n v="8"/>
    <x v="3"/>
    <n v="4271.99"/>
    <n v="4417.79"/>
    <s v="Returning"/>
    <n v="0.04"/>
    <s v="Cash"/>
    <s v="Online"/>
    <s v="South-Bob"/>
    <n v="1166.4000000000015"/>
    <n v="3.3002926802767944E-2"/>
    <n v="35342.32"/>
  </r>
  <r>
    <n v="1003"/>
    <x v="40"/>
    <s v="Charlie"/>
    <s v="South"/>
    <x v="44"/>
    <n v="27"/>
    <x v="0"/>
    <n v="623.32000000000005"/>
    <n v="853.66"/>
    <s v="Returning"/>
    <n v="0.04"/>
    <s v="Cash"/>
    <s v="Online"/>
    <s v="South-Charlie"/>
    <n v="6219.1799999999976"/>
    <n v="0.26982639458332347"/>
    <n v="23048.82"/>
  </r>
  <r>
    <n v="1051"/>
    <x v="41"/>
    <s v="Bob"/>
    <s v="East"/>
    <x v="45"/>
    <n v="12"/>
    <x v="3"/>
    <n v="3544.48"/>
    <n v="3723.66"/>
    <s v="Returning"/>
    <n v="0.19"/>
    <s v="Cash"/>
    <s v="Online"/>
    <s v="East-Bob"/>
    <n v="2150.159999999998"/>
    <n v="4.8119323461325643E-2"/>
    <n v="44683.92"/>
  </r>
  <r>
    <n v="1007"/>
    <x v="42"/>
    <s v="Eve"/>
    <s v="West"/>
    <x v="46"/>
    <n v="1"/>
    <x v="1"/>
    <n v="2543.2600000000002"/>
    <n v="2637.91"/>
    <s v="Returning"/>
    <n v="0.2"/>
    <s v="Credit Card"/>
    <s v="Online"/>
    <s v="West-Eve"/>
    <n v="94.649999999999636"/>
    <n v="3.5880678264231775E-2"/>
    <n v="2637.91"/>
  </r>
  <r>
    <n v="1021"/>
    <x v="43"/>
    <s v="Bob"/>
    <s v="West"/>
    <x v="47"/>
    <n v="43"/>
    <x v="0"/>
    <n v="4154.3"/>
    <n v="4469.07"/>
    <s v="Returning"/>
    <n v="0.23"/>
    <s v="Cash"/>
    <s v="Retail"/>
    <s v="West-Bob"/>
    <n v="13535.109999999979"/>
    <n v="7.0432998364312827E-2"/>
    <n v="192170.00999999998"/>
  </r>
  <r>
    <n v="1073"/>
    <x v="38"/>
    <s v="David"/>
    <s v="West"/>
    <x v="48"/>
    <n v="40"/>
    <x v="0"/>
    <n v="2565.3000000000002"/>
    <n v="3007.47"/>
    <s v="Returning"/>
    <n v="0.17"/>
    <s v="Credit Card"/>
    <s v="Retail"/>
    <s v="West-David"/>
    <n v="17686.799999999985"/>
    <n v="0.14702391046294716"/>
    <n v="120298.79999999999"/>
  </r>
  <r>
    <n v="1039"/>
    <x v="44"/>
    <s v="Alice"/>
    <s v="East"/>
    <x v="49"/>
    <n v="42"/>
    <x v="2"/>
    <n v="3120.19"/>
    <n v="3600.14"/>
    <s v="Returning"/>
    <n v="0.19"/>
    <s v="Credit Card"/>
    <s v="Retail"/>
    <s v="East-Alice"/>
    <n v="20157.899999999994"/>
    <n v="0.13331426000099991"/>
    <n v="151205.88"/>
  </r>
  <r>
    <n v="1018"/>
    <x v="45"/>
    <s v="Alice"/>
    <s v="East"/>
    <x v="50"/>
    <n v="11"/>
    <x v="2"/>
    <n v="2414.8200000000002"/>
    <n v="2519.0700000000002"/>
    <s v="Returning"/>
    <n v="0"/>
    <s v="Cash"/>
    <s v="Online"/>
    <s v="East-Alice"/>
    <n v="1146.75"/>
    <n v="4.1384320403958605E-2"/>
    <n v="27709.77"/>
  </r>
  <r>
    <n v="1004"/>
    <x v="46"/>
    <s v="Eve"/>
    <s v="South"/>
    <x v="51"/>
    <n v="39"/>
    <x v="3"/>
    <n v="2416.89"/>
    <n v="2778.3999999999901"/>
    <s v="Returning"/>
    <n v="0.05"/>
    <s v="Cash"/>
    <s v="Online"/>
    <s v="South-Eve"/>
    <n v="14098.889999999617"/>
    <n v="0.1301144543622198"/>
    <n v="108357.59999999961"/>
  </r>
  <r>
    <n v="1089"/>
    <x v="47"/>
    <s v="David"/>
    <s v="North"/>
    <x v="52"/>
    <n v="43"/>
    <x v="0"/>
    <n v="3851.45"/>
    <n v="4186.9799999999996"/>
    <s v="Returning"/>
    <n v="0.3"/>
    <s v="Credit Card"/>
    <s v="Online"/>
    <s v="North-David"/>
    <n v="14427.78999999999"/>
    <n v="8.0136518445275542E-2"/>
    <n v="180040.13999999998"/>
  </r>
  <r>
    <n v="1060"/>
    <x v="48"/>
    <s v="Charlie"/>
    <s v="West"/>
    <x v="53"/>
    <n v="31"/>
    <x v="3"/>
    <n v="3161.4"/>
    <n v="3339.66"/>
    <s v="Returning"/>
    <n v="0.02"/>
    <s v="Bank Transfer"/>
    <s v="Online"/>
    <s v="West-Charlie"/>
    <n v="5526.0599999999922"/>
    <n v="5.3376691040405239E-2"/>
    <n v="103529.45999999999"/>
  </r>
  <r>
    <n v="1014"/>
    <x v="49"/>
    <s v="David"/>
    <s v="West"/>
    <x v="54"/>
    <n v="17"/>
    <x v="1"/>
    <n v="3184.65"/>
    <n v="3204.01"/>
    <s v="New"/>
    <n v="0.2"/>
    <s v="Bank Transfer"/>
    <s v="Online"/>
    <s v="West-David"/>
    <n v="329.12000000000216"/>
    <n v="6.0424280823093953E-3"/>
    <n v="54468.170000000006"/>
  </r>
  <r>
    <n v="1009"/>
    <x v="40"/>
    <s v="Alice"/>
    <s v="North"/>
    <x v="55"/>
    <n v="33"/>
    <x v="2"/>
    <n v="2278.9"/>
    <n v="2626.9"/>
    <s v="New"/>
    <n v="0.05"/>
    <s v="Credit Card"/>
    <s v="Online"/>
    <s v="North-Alice"/>
    <n v="11484"/>
    <n v="0.13247554151280977"/>
    <n v="86687.7"/>
  </r>
  <r>
    <n v="1090"/>
    <x v="50"/>
    <s v="Alice"/>
    <s v="West"/>
    <x v="56"/>
    <n v="32"/>
    <x v="3"/>
    <n v="2678.99"/>
    <n v="3152.2799999999902"/>
    <s v="Returning"/>
    <n v="0.22"/>
    <s v="Cash"/>
    <s v="Retail"/>
    <s v="West-Alice"/>
    <n v="15145.279999999693"/>
    <n v="0.15014211935487706"/>
    <n v="100872.95999999969"/>
  </r>
  <r>
    <n v="1053"/>
    <x v="51"/>
    <s v="David"/>
    <s v="East"/>
    <x v="57"/>
    <n v="29"/>
    <x v="3"/>
    <n v="3741.3"/>
    <n v="4061.04"/>
    <s v="Returning"/>
    <n v="0.21"/>
    <s v="Credit Card"/>
    <s v="Online"/>
    <s v="East-David"/>
    <n v="9272.4599999999937"/>
    <n v="7.8733526387329292E-2"/>
    <n v="117770.16"/>
  </r>
  <r>
    <n v="1002"/>
    <x v="52"/>
    <s v="David"/>
    <s v="East"/>
    <x v="58"/>
    <n v="21"/>
    <x v="2"/>
    <n v="4138.41"/>
    <n v="4361.7"/>
    <s v="Returning"/>
    <n v="7.0000000000000007E-2"/>
    <s v="Credit Card"/>
    <s v="Retail"/>
    <s v="East-David"/>
    <n v="4689.0899999999992"/>
    <n v="5.1193342045532698E-2"/>
    <n v="91595.7"/>
  </r>
  <r>
    <n v="1084"/>
    <x v="53"/>
    <s v="Alice"/>
    <s v="West"/>
    <x v="59"/>
    <n v="21"/>
    <x v="0"/>
    <n v="3497.98"/>
    <n v="3765.31"/>
    <s v="New"/>
    <n v="0.08"/>
    <s v="Cash"/>
    <s v="Online"/>
    <s v="West-Alice"/>
    <n v="5613.9299999999985"/>
    <n v="7.0998138267499872E-2"/>
    <n v="79071.509999999995"/>
  </r>
  <r>
    <n v="1092"/>
    <x v="54"/>
    <s v="Charlie"/>
    <s v="East"/>
    <x v="60"/>
    <n v="40"/>
    <x v="3"/>
    <n v="4624.16"/>
    <n v="4731.9799999999996"/>
    <s v="New"/>
    <n v="0.2"/>
    <s v="Bank Transfer"/>
    <s v="Retail"/>
    <s v="East-Charlie"/>
    <n v="4312.7999999999884"/>
    <n v="2.278538793486019E-2"/>
    <n v="189279.19999999998"/>
  </r>
  <r>
    <n v="1060"/>
    <x v="55"/>
    <s v="Eve"/>
    <s v="East"/>
    <x v="61"/>
    <n v="23"/>
    <x v="2"/>
    <n v="4110.6000000000004"/>
    <n v="4488.37"/>
    <s v="New"/>
    <n v="0.12"/>
    <s v="Credit Card"/>
    <s v="Online"/>
    <s v="East-Eve"/>
    <n v="8688.7099999999882"/>
    <n v="8.4166412305580751E-2"/>
    <n v="103232.51"/>
  </r>
  <r>
    <n v="1071"/>
    <x v="56"/>
    <s v="Eve"/>
    <s v="West"/>
    <x v="62"/>
    <n v="6"/>
    <x v="0"/>
    <n v="2831.23"/>
    <n v="3206.98"/>
    <s v="Returning"/>
    <n v="0.06"/>
    <s v="Bank Transfer"/>
    <s v="Retail"/>
    <s v="West-Eve"/>
    <n v="2254.5"/>
    <n v="0.11716630599504829"/>
    <n v="19241.88"/>
  </r>
  <r>
    <n v="1044"/>
    <x v="57"/>
    <s v="David"/>
    <s v="South"/>
    <x v="63"/>
    <n v="22"/>
    <x v="1"/>
    <n v="3373.46"/>
    <n v="3454.76"/>
    <s v="Returning"/>
    <n v="0.22"/>
    <s v="Bank Transfer"/>
    <s v="Retail"/>
    <s v="South-David"/>
    <n v="1788.600000000004"/>
    <n v="2.3532749018745205E-2"/>
    <n v="76004.72"/>
  </r>
  <r>
    <n v="1008"/>
    <x v="58"/>
    <s v="Eve"/>
    <s v="North"/>
    <x v="64"/>
    <n v="38"/>
    <x v="2"/>
    <n v="4635.2299999999996"/>
    <n v="5075.4399999999996"/>
    <s v="Returning"/>
    <n v="0.05"/>
    <s v="Cash"/>
    <s v="Online"/>
    <s v="North-Eve"/>
    <n v="16727.980000000003"/>
    <n v="8.673336695931784E-2"/>
    <n v="192866.71999999997"/>
  </r>
  <r>
    <n v="1047"/>
    <x v="59"/>
    <s v="Alice"/>
    <s v="East"/>
    <x v="65"/>
    <n v="37"/>
    <x v="3"/>
    <n v="3114.88"/>
    <n v="3256.78"/>
    <s v="Returning"/>
    <n v="0.26"/>
    <s v="Credit Card"/>
    <s v="Online"/>
    <s v="East-Alice"/>
    <n v="5250.3000000000029"/>
    <n v="4.3570643396238028E-2"/>
    <n v="120500.86"/>
  </r>
  <r>
    <n v="1035"/>
    <x v="60"/>
    <s v="Alice"/>
    <s v="South"/>
    <x v="66"/>
    <n v="45"/>
    <x v="1"/>
    <n v="4132.79"/>
    <n v="4624.1000000000004"/>
    <s v="New"/>
    <n v="0.15"/>
    <s v="Credit Card"/>
    <s v="Retail"/>
    <s v="South-Alice"/>
    <n v="22108.950000000019"/>
    <n v="0.10624986483856326"/>
    <n v="208084.50000000003"/>
  </r>
  <r>
    <n v="1078"/>
    <x v="10"/>
    <s v="David"/>
    <s v="East"/>
    <x v="67"/>
    <n v="8"/>
    <x v="0"/>
    <n v="3459.61"/>
    <n v="3657.23"/>
    <s v="Returning"/>
    <n v="0.03"/>
    <s v="Bank Transfer"/>
    <s v="Online"/>
    <s v="East-David"/>
    <n v="1580.9599999999991"/>
    <n v="5.4035431186991216E-2"/>
    <n v="29257.84"/>
  </r>
  <r>
    <n v="1081"/>
    <x v="61"/>
    <s v="David"/>
    <s v="East"/>
    <x v="68"/>
    <n v="41"/>
    <x v="0"/>
    <n v="2782.08"/>
    <n v="2879.24"/>
    <s v="New"/>
    <n v="0.21"/>
    <s v="Bank Transfer"/>
    <s v="Online"/>
    <s v="East-David"/>
    <n v="3983.559999999994"/>
    <n v="3.3745016045900952E-2"/>
    <n v="118048.84"/>
  </r>
  <r>
    <n v="1036"/>
    <x v="62"/>
    <s v="David"/>
    <s v="North"/>
    <x v="69"/>
    <n v="49"/>
    <x v="2"/>
    <n v="1247.0999999999999"/>
    <n v="1429.4399999999901"/>
    <s v="New"/>
    <n v="0.16"/>
    <s v="Cash"/>
    <s v="Online"/>
    <s v="North-David"/>
    <n v="8934.659999999516"/>
    <n v="0.12756044325049767"/>
    <n v="70042.559999999517"/>
  </r>
  <r>
    <n v="1050"/>
    <x v="63"/>
    <s v="Charlie"/>
    <s v="East"/>
    <x v="70"/>
    <n v="35"/>
    <x v="2"/>
    <n v="2158.69"/>
    <n v="2384.38"/>
    <s v="Returning"/>
    <n v="0.09"/>
    <s v="Bank Transfer"/>
    <s v="Retail"/>
    <s v="East-Charlie"/>
    <n v="7899.1500000000015"/>
    <n v="9.4653536768468133E-2"/>
    <n v="83453.3"/>
  </r>
  <r>
    <n v="1004"/>
    <x v="64"/>
    <s v="Eve"/>
    <s v="North"/>
    <x v="71"/>
    <n v="11"/>
    <x v="2"/>
    <n v="4840.33"/>
    <n v="4884.29"/>
    <s v="New"/>
    <n v="0.13"/>
    <s v="Cash"/>
    <s v="Online"/>
    <s v="North-Eve"/>
    <n v="483.5600000000004"/>
    <n v="9.0002845858865952E-3"/>
    <n v="53727.19"/>
  </r>
  <r>
    <n v="1002"/>
    <x v="65"/>
    <s v="David"/>
    <s v="North"/>
    <x v="72"/>
    <n v="24"/>
    <x v="0"/>
    <n v="3305.94"/>
    <n v="3599.27"/>
    <s v="New"/>
    <n v="0.09"/>
    <s v="Credit Card"/>
    <s v="Retail"/>
    <s v="North-David"/>
    <n v="7039.9199999999983"/>
    <n v="8.1497081352607595E-2"/>
    <n v="86382.48"/>
  </r>
  <r>
    <n v="1006"/>
    <x v="66"/>
    <s v="Bob"/>
    <s v="North"/>
    <x v="73"/>
    <n v="49"/>
    <x v="1"/>
    <n v="2843.76"/>
    <n v="3146.6"/>
    <s v="New"/>
    <n v="0.08"/>
    <s v="Cash"/>
    <s v="Retail"/>
    <s v="North-Bob"/>
    <n v="14839.159999999985"/>
    <n v="9.6243564482298261E-2"/>
    <n v="154183.4"/>
  </r>
  <r>
    <n v="1054"/>
    <x v="67"/>
    <s v="Bob"/>
    <s v="South"/>
    <x v="74"/>
    <n v="21"/>
    <x v="0"/>
    <n v="4668.1400000000003"/>
    <n v="5040.22"/>
    <s v="New"/>
    <n v="0.05"/>
    <s v="Bank Transfer"/>
    <s v="Online"/>
    <s v="South-Bob"/>
    <n v="7813.6799999999985"/>
    <n v="7.3822174428893952E-2"/>
    <n v="105844.62000000001"/>
  </r>
  <r>
    <n v="1004"/>
    <x v="68"/>
    <s v="Alice"/>
    <s v="West"/>
    <x v="75"/>
    <n v="2"/>
    <x v="3"/>
    <n v="2953.23"/>
    <n v="2977.52"/>
    <s v="Returning"/>
    <n v="0.11"/>
    <s v="Credit Card"/>
    <s v="Retail"/>
    <s v="West-Alice"/>
    <n v="48.579999999999927"/>
    <n v="8.1577957494827786E-3"/>
    <n v="5955.04"/>
  </r>
  <r>
    <n v="1054"/>
    <x v="69"/>
    <s v="Eve"/>
    <s v="South"/>
    <x v="76"/>
    <n v="40"/>
    <x v="0"/>
    <n v="2654.11"/>
    <n v="2929.32"/>
    <s v="Returning"/>
    <n v="0.08"/>
    <s v="Cash"/>
    <s v="Online"/>
    <s v="South-Eve"/>
    <n v="11008.400000000001"/>
    <n v="9.3950131771196058E-2"/>
    <n v="117172.8"/>
  </r>
  <r>
    <n v="1093"/>
    <x v="70"/>
    <s v="David"/>
    <s v="West"/>
    <x v="77"/>
    <n v="19"/>
    <x v="3"/>
    <n v="3808.59"/>
    <n v="3844.51"/>
    <s v="New"/>
    <n v="0.21"/>
    <s v="Credit Card"/>
    <s v="Online"/>
    <s v="West-David"/>
    <n v="682.48000000000138"/>
    <n v="9.3431932808082357E-3"/>
    <n v="73045.69"/>
  </r>
  <r>
    <n v="1063"/>
    <x v="71"/>
    <s v="Bob"/>
    <s v="West"/>
    <x v="78"/>
    <n v="39"/>
    <x v="1"/>
    <n v="3577.69"/>
    <n v="3931.25"/>
    <s v="Returning"/>
    <n v="0.21"/>
    <s v="Cash"/>
    <s v="Retail"/>
    <s v="West-Bob"/>
    <n v="13788.839999999998"/>
    <n v="8.9935771065182815E-2"/>
    <n v="153318.75"/>
  </r>
  <r>
    <n v="1018"/>
    <x v="72"/>
    <s v="Eve"/>
    <s v="North"/>
    <x v="79"/>
    <n v="28"/>
    <x v="2"/>
    <n v="1006.14"/>
    <n v="1043.45"/>
    <s v="New"/>
    <n v="0.15"/>
    <s v="Bank Transfer"/>
    <s v="Retail"/>
    <s v="North-Eve"/>
    <n v="1044.6800000000017"/>
    <n v="3.5756385068762331E-2"/>
    <n v="29216.600000000002"/>
  </r>
  <r>
    <n v="1090"/>
    <x v="73"/>
    <s v="Alice"/>
    <s v="East"/>
    <x v="80"/>
    <n v="17"/>
    <x v="2"/>
    <n v="2382.98"/>
    <n v="2839.73"/>
    <s v="Returning"/>
    <n v="0.23"/>
    <s v="Bank Transfer"/>
    <s v="Retail"/>
    <s v="East-Alice"/>
    <n v="7764.75"/>
    <n v="0.16084275617752392"/>
    <n v="48275.41"/>
  </r>
  <r>
    <n v="1044"/>
    <x v="74"/>
    <s v="Charlie"/>
    <s v="North"/>
    <x v="81"/>
    <n v="6"/>
    <x v="0"/>
    <n v="2388.9499999999998"/>
    <n v="2742.97"/>
    <s v="Returning"/>
    <n v="0.25"/>
    <s v="Credit Card"/>
    <s v="Retail"/>
    <s v="North-Charlie"/>
    <n v="2124.12"/>
    <n v="0.12906448120103392"/>
    <n v="16457.82"/>
  </r>
  <r>
    <n v="1034"/>
    <x v="75"/>
    <s v="Eve"/>
    <s v="East"/>
    <x v="82"/>
    <n v="19"/>
    <x v="2"/>
    <n v="1922.21"/>
    <n v="2180.83"/>
    <s v="Returning"/>
    <n v="0.17"/>
    <s v="Credit Card"/>
    <s v="Retail"/>
    <s v="East-Eve"/>
    <n v="4913.7799999999979"/>
    <n v="0.11858787709266651"/>
    <n v="41435.769999999997"/>
  </r>
  <r>
    <n v="1074"/>
    <x v="76"/>
    <s v="Eve"/>
    <s v="West"/>
    <x v="83"/>
    <n v="38"/>
    <x v="1"/>
    <n v="2610.6"/>
    <n v="2836.94"/>
    <s v="Returning"/>
    <n v="0.19"/>
    <s v="Credit Card"/>
    <s v="Online"/>
    <s v="West-Eve"/>
    <n v="8600.9200000000055"/>
    <n v="7.9783146629819501E-2"/>
    <n v="107803.72"/>
  </r>
  <r>
    <n v="1062"/>
    <x v="77"/>
    <s v="Charlie"/>
    <s v="North"/>
    <x v="84"/>
    <n v="28"/>
    <x v="2"/>
    <n v="2094.88"/>
    <n v="2168.91"/>
    <s v="Returning"/>
    <n v="0.08"/>
    <s v="Cash"/>
    <s v="Retail"/>
    <s v="North-Charlie"/>
    <n v="2072.8399999999929"/>
    <n v="3.4132352195342247E-2"/>
    <n v="60729.479999999996"/>
  </r>
  <r>
    <n v="1100"/>
    <x v="78"/>
    <s v="Eve"/>
    <s v="East"/>
    <x v="85"/>
    <n v="2"/>
    <x v="0"/>
    <n v="1036.76"/>
    <n v="1189.3499999999999"/>
    <s v="New"/>
    <n v="0.27"/>
    <s v="Bank Transfer"/>
    <s v="Online"/>
    <s v="East-Eve"/>
    <n v="305.17999999999984"/>
    <n v="0.12829696893261019"/>
    <n v="2378.6999999999998"/>
  </r>
  <r>
    <n v="1014"/>
    <x v="6"/>
    <s v="Alice"/>
    <s v="South"/>
    <x v="86"/>
    <n v="38"/>
    <x v="1"/>
    <n v="2091.21"/>
    <n v="2527"/>
    <s v="Returning"/>
    <n v="0.01"/>
    <s v="Credit Card"/>
    <s v="Online"/>
    <s v="South-Alice"/>
    <n v="16560.019999999997"/>
    <n v="0.17245350217649383"/>
    <n v="96026"/>
  </r>
  <r>
    <n v="1095"/>
    <x v="79"/>
    <s v="Alice"/>
    <s v="East"/>
    <x v="87"/>
    <n v="37"/>
    <x v="3"/>
    <n v="407.77"/>
    <n v="860.95"/>
    <s v="New"/>
    <n v="0.1"/>
    <s v="Credit Card"/>
    <s v="Retail"/>
    <s v="East-Alice"/>
    <n v="16767.660000000003"/>
    <n v="0.52637203089610318"/>
    <n v="31855.15"/>
  </r>
  <r>
    <n v="1048"/>
    <x v="80"/>
    <s v="Charlie"/>
    <s v="North"/>
    <x v="88"/>
    <n v="4"/>
    <x v="0"/>
    <n v="2900.14"/>
    <n v="2910.5099999999902"/>
    <s v="New"/>
    <n v="0.22"/>
    <s v="Credit Card"/>
    <s v="Retail"/>
    <s v="North-Charlie"/>
    <n v="41.479999999961365"/>
    <n v="3.5629494487187385E-3"/>
    <n v="11642.039999999961"/>
  </r>
  <r>
    <n v="1015"/>
    <x v="81"/>
    <s v="David"/>
    <s v="South"/>
    <x v="89"/>
    <n v="22"/>
    <x v="3"/>
    <n v="4275.59"/>
    <n v="4576.72"/>
    <s v="Returning"/>
    <n v="0.02"/>
    <s v="Cash"/>
    <s v="Retail"/>
    <s v="South-David"/>
    <n v="6624.8600000000024"/>
    <n v="6.5796028596899106E-2"/>
    <n v="100687.84000000001"/>
  </r>
  <r>
    <n v="1072"/>
    <x v="61"/>
    <s v="Bob"/>
    <s v="East"/>
    <x v="90"/>
    <n v="26"/>
    <x v="1"/>
    <n v="3640.17"/>
    <n v="4002.63"/>
    <s v="New"/>
    <n v="0.05"/>
    <s v="Credit Card"/>
    <s v="Retail"/>
    <s v="East-Bob"/>
    <n v="9423.9600000000009"/>
    <n v="9.0555459785191236E-2"/>
    <n v="104068.38"/>
  </r>
  <r>
    <n v="1078"/>
    <x v="41"/>
    <s v="David"/>
    <s v="East"/>
    <x v="91"/>
    <n v="49"/>
    <x v="0"/>
    <n v="1833.95"/>
    <n v="2147.14"/>
    <s v="Returning"/>
    <n v="0.18"/>
    <s v="Credit Card"/>
    <s v="Retail"/>
    <s v="East-David"/>
    <n v="15346.309999999992"/>
    <n v="0.14586380021796427"/>
    <n v="105209.86"/>
  </r>
  <r>
    <n v="1087"/>
    <x v="25"/>
    <s v="Eve"/>
    <s v="East"/>
    <x v="92"/>
    <n v="43"/>
    <x v="0"/>
    <n v="481"/>
    <n v="531.02"/>
    <s v="New"/>
    <n v="0.17"/>
    <s v="Cash"/>
    <s v="Online"/>
    <s v="East-Eve"/>
    <n v="2150.8599999999992"/>
    <n v="9.4196075477383109E-2"/>
    <n v="22833.86"/>
  </r>
  <r>
    <n v="1062"/>
    <x v="82"/>
    <s v="Bob"/>
    <s v="East"/>
    <x v="93"/>
    <n v="36"/>
    <x v="1"/>
    <n v="1050.6400000000001"/>
    <n v="1167.33"/>
    <s v="New"/>
    <n v="0.22"/>
    <s v="Cash"/>
    <s v="Online"/>
    <s v="East-Bob"/>
    <n v="4200.8399999999938"/>
    <n v="9.9963163801152916E-2"/>
    <n v="42023.88"/>
  </r>
  <r>
    <n v="1040"/>
    <x v="83"/>
    <s v="Charlie"/>
    <s v="East"/>
    <x v="94"/>
    <n v="13"/>
    <x v="2"/>
    <n v="2750.18"/>
    <n v="2882.85"/>
    <s v="Returning"/>
    <n v="0.24"/>
    <s v="Credit Card"/>
    <s v="Online"/>
    <s v="East-Charlie"/>
    <n v="1724.7100000000009"/>
    <n v="4.6020431170543066E-2"/>
    <n v="37477.049999999996"/>
  </r>
  <r>
    <n v="1085"/>
    <x v="24"/>
    <s v="Charlie"/>
    <s v="South"/>
    <x v="95"/>
    <n v="32"/>
    <x v="0"/>
    <n v="1074.93"/>
    <n v="1492.48"/>
    <s v="Returning"/>
    <n v="0.04"/>
    <s v="Credit Card"/>
    <s v="Retail"/>
    <s v="South-Charlie"/>
    <n v="13361.599999999999"/>
    <n v="0.27976924313893647"/>
    <n v="47759.360000000001"/>
  </r>
  <r>
    <n v="1080"/>
    <x v="3"/>
    <s v="Bob"/>
    <s v="West"/>
    <x v="96"/>
    <n v="17"/>
    <x v="0"/>
    <n v="2742.67"/>
    <n v="2979.64"/>
    <s v="Returning"/>
    <n v="0.01"/>
    <s v="Cash"/>
    <s v="Retail"/>
    <s v="West-Bob"/>
    <n v="4028.4899999999966"/>
    <n v="7.9529741848008415E-2"/>
    <n v="50653.88"/>
  </r>
  <r>
    <n v="1082"/>
    <x v="84"/>
    <s v="Alice"/>
    <s v="South"/>
    <x v="97"/>
    <n v="41"/>
    <x v="3"/>
    <n v="1196.42"/>
    <n v="1444.97"/>
    <s v="Returning"/>
    <n v="0.21"/>
    <s v="Bank Transfer"/>
    <s v="Online"/>
    <s v="South-Alice"/>
    <n v="10190.549999999997"/>
    <n v="0.17201049156729892"/>
    <n v="59243.770000000004"/>
  </r>
  <r>
    <n v="1053"/>
    <x v="28"/>
    <s v="Bob"/>
    <s v="South"/>
    <x v="98"/>
    <n v="36"/>
    <x v="2"/>
    <n v="4252.17"/>
    <n v="4720.2700000000004"/>
    <s v="New"/>
    <n v="0.09"/>
    <s v="Cash"/>
    <s v="Retail"/>
    <s v="South-Bob"/>
    <n v="16851.600000000013"/>
    <n v="9.9168056064589588E-2"/>
    <n v="169929.72000000003"/>
  </r>
  <r>
    <n v="1024"/>
    <x v="85"/>
    <s v="Eve"/>
    <s v="South"/>
    <x v="99"/>
    <n v="46"/>
    <x v="3"/>
    <n v="2016.49"/>
    <n v="2338.66"/>
    <s v="Returning"/>
    <n v="0.19"/>
    <s v="Bank Transfer"/>
    <s v="Retail"/>
    <s v="South-Eve"/>
    <n v="14819.819999999992"/>
    <n v="0.13775837445374697"/>
    <n v="107578.35999999999"/>
  </r>
  <r>
    <n v="1026"/>
    <x v="86"/>
    <s v="Alice"/>
    <s v="West"/>
    <x v="100"/>
    <n v="19"/>
    <x v="3"/>
    <n v="1265.48"/>
    <n v="1715.83"/>
    <s v="New"/>
    <n v="0.05"/>
    <s v="Credit Card"/>
    <s v="Retail"/>
    <s v="West-Alice"/>
    <n v="8556.6499999999978"/>
    <n v="0.26246772698927046"/>
    <n v="32600.769999999997"/>
  </r>
  <r>
    <n v="1089"/>
    <x v="58"/>
    <s v="Charlie"/>
    <s v="North"/>
    <x v="101"/>
    <n v="35"/>
    <x v="2"/>
    <n v="4071.01"/>
    <n v="4304.7"/>
    <s v="New"/>
    <n v="0.14000000000000001"/>
    <s v="Credit Card"/>
    <s v="Online"/>
    <s v="North-Charlie"/>
    <n v="8179.149999999986"/>
    <n v="5.4287174483703765E-2"/>
    <n v="150664.5"/>
  </r>
  <r>
    <n v="1060"/>
    <x v="87"/>
    <s v="Bob"/>
    <s v="West"/>
    <x v="102"/>
    <n v="46"/>
    <x v="2"/>
    <n v="1747.05"/>
    <n v="1830.27"/>
    <s v="New"/>
    <n v="0.15"/>
    <s v="Bank Transfer"/>
    <s v="Retail"/>
    <s v="West-Bob"/>
    <n v="3828.1200000000013"/>
    <n v="4.5468701339146697E-2"/>
    <n v="84192.42"/>
  </r>
  <r>
    <n v="1041"/>
    <x v="10"/>
    <s v="David"/>
    <s v="South"/>
    <x v="103"/>
    <n v="40"/>
    <x v="1"/>
    <n v="601.86"/>
    <n v="1067.53"/>
    <s v="New"/>
    <n v="0.18"/>
    <s v="Cash"/>
    <s v="Online"/>
    <s v="South-David"/>
    <n v="18626.8"/>
    <n v="0.436212565454835"/>
    <n v="42701.2"/>
  </r>
  <r>
    <n v="1029"/>
    <x v="88"/>
    <s v="David"/>
    <s v="East"/>
    <x v="104"/>
    <n v="28"/>
    <x v="2"/>
    <n v="2873.53"/>
    <n v="3108.3"/>
    <s v="New"/>
    <n v="0.15"/>
    <s v="Credit Card"/>
    <s v="Retail"/>
    <s v="East-David"/>
    <n v="6573.5599999999995"/>
    <n v="7.5530032493646038E-2"/>
    <n v="87032.400000000009"/>
  </r>
  <r>
    <n v="1015"/>
    <x v="10"/>
    <s v="Eve"/>
    <s v="East"/>
    <x v="105"/>
    <n v="1"/>
    <x v="0"/>
    <n v="2928.74"/>
    <n v="3027.74"/>
    <s v="New"/>
    <n v="0.15"/>
    <s v="Bank Transfer"/>
    <s v="Retail"/>
    <s v="East-Eve"/>
    <n v="99"/>
    <n v="3.2697655677171755E-2"/>
    <n v="3027.74"/>
  </r>
  <r>
    <n v="1045"/>
    <x v="89"/>
    <s v="David"/>
    <s v="South"/>
    <x v="106"/>
    <n v="42"/>
    <x v="2"/>
    <n v="3587.74"/>
    <n v="3745.91"/>
    <s v="Returning"/>
    <n v="0.1"/>
    <s v="Cash"/>
    <s v="Online"/>
    <s v="South-David"/>
    <n v="6643.1400000000031"/>
    <n v="4.2224719761019373E-2"/>
    <n v="157328.22"/>
  </r>
  <r>
    <n v="1065"/>
    <x v="90"/>
    <s v="Bob"/>
    <s v="East"/>
    <x v="107"/>
    <n v="18"/>
    <x v="1"/>
    <n v="1239.0899999999999"/>
    <n v="1273.98"/>
    <s v="New"/>
    <n v="0.02"/>
    <s v="Bank Transfer"/>
    <s v="Retail"/>
    <s v="East-Bob"/>
    <n v="628.0200000000018"/>
    <n v="2.7386615174492614E-2"/>
    <n v="22931.64"/>
  </r>
  <r>
    <n v="1089"/>
    <x v="91"/>
    <s v="Bob"/>
    <s v="South"/>
    <x v="108"/>
    <n v="48"/>
    <x v="1"/>
    <n v="2246.67"/>
    <n v="2486.14"/>
    <s v="New"/>
    <n v="0.03"/>
    <s v="Cash"/>
    <s v="Retail"/>
    <s v="South-Bob"/>
    <n v="11494.55999999999"/>
    <n v="9.6322009219110674E-2"/>
    <n v="119334.72"/>
  </r>
  <r>
    <n v="1071"/>
    <x v="92"/>
    <s v="David"/>
    <s v="East"/>
    <x v="109"/>
    <n v="40"/>
    <x v="1"/>
    <n v="1447.72"/>
    <n v="1875.75"/>
    <s v="New"/>
    <n v="0.13"/>
    <s v="Cash"/>
    <s v="Retail"/>
    <s v="East-David"/>
    <n v="17121.199999999997"/>
    <n v="0.22819139011062237"/>
    <n v="75030"/>
  </r>
  <r>
    <n v="1009"/>
    <x v="14"/>
    <s v="Bob"/>
    <s v="West"/>
    <x v="110"/>
    <n v="33"/>
    <x v="2"/>
    <n v="450.72"/>
    <n v="918.17"/>
    <s v="Returning"/>
    <n v="0.11"/>
    <s v="Cash"/>
    <s v="Online"/>
    <s v="West-Bob"/>
    <n v="15425.849999999999"/>
    <n v="0.50911051330363655"/>
    <n v="30299.609999999997"/>
  </r>
  <r>
    <n v="1088"/>
    <x v="93"/>
    <s v="Eve"/>
    <s v="North"/>
    <x v="111"/>
    <n v="12"/>
    <x v="2"/>
    <n v="4389.24"/>
    <n v="4856.2199999999903"/>
    <s v="Returning"/>
    <n v="0.15"/>
    <s v="Cash"/>
    <s v="Retail"/>
    <s v="North-Eve"/>
    <n v="5603.7599999998856"/>
    <n v="9.6161211806712096E-2"/>
    <n v="58274.639999999883"/>
  </r>
  <r>
    <n v="1001"/>
    <x v="94"/>
    <s v="Alice"/>
    <s v="North"/>
    <x v="112"/>
    <n v="8"/>
    <x v="3"/>
    <n v="3657.91"/>
    <n v="3729.27"/>
    <s v="New"/>
    <n v="0.09"/>
    <s v="Bank Transfer"/>
    <s v="Retail"/>
    <s v="North-Alice"/>
    <n v="570.88000000000102"/>
    <n v="1.9135112233761603E-2"/>
    <n v="29834.16"/>
  </r>
  <r>
    <n v="1008"/>
    <x v="95"/>
    <s v="Eve"/>
    <s v="West"/>
    <x v="113"/>
    <n v="24"/>
    <x v="3"/>
    <n v="1542.24"/>
    <n v="1739.45"/>
    <s v="Returning"/>
    <n v="0.21"/>
    <s v="Bank Transfer"/>
    <s v="Retail"/>
    <s v="West-Eve"/>
    <n v="4733.0400000000009"/>
    <n v="0.1133749173589353"/>
    <n v="41746.800000000003"/>
  </r>
  <r>
    <n v="1088"/>
    <x v="96"/>
    <s v="Eve"/>
    <s v="West"/>
    <x v="114"/>
    <n v="16"/>
    <x v="0"/>
    <n v="3016.9"/>
    <n v="3040.73"/>
    <s v="New"/>
    <n v="0.26"/>
    <s v="Bank Transfer"/>
    <s v="Retail"/>
    <s v="West-Eve"/>
    <n v="381.27999999999884"/>
    <n v="7.8369338941635478E-3"/>
    <n v="48651.68"/>
  </r>
  <r>
    <n v="1063"/>
    <x v="97"/>
    <s v="Bob"/>
    <s v="South"/>
    <x v="115"/>
    <n v="4"/>
    <x v="3"/>
    <n v="1046.26"/>
    <n v="1475.29"/>
    <s v="Returning"/>
    <n v="0.09"/>
    <s v="Bank Transfer"/>
    <s v="Retail"/>
    <s v="South-Bob"/>
    <n v="1716.12"/>
    <n v="0.29081062028482535"/>
    <n v="5901.16"/>
  </r>
  <r>
    <n v="1011"/>
    <x v="98"/>
    <s v="Alice"/>
    <s v="South"/>
    <x v="116"/>
    <n v="38"/>
    <x v="0"/>
    <n v="4456.67"/>
    <n v="4642.46"/>
    <s v="New"/>
    <n v="0.06"/>
    <s v="Bank Transfer"/>
    <s v="Online"/>
    <s v="South-Alice"/>
    <n v="7060.0199999999986"/>
    <n v="4.0019730918521637E-2"/>
    <n v="176413.48"/>
  </r>
  <r>
    <n v="1081"/>
    <x v="99"/>
    <s v="Bob"/>
    <s v="South"/>
    <x v="117"/>
    <n v="44"/>
    <x v="1"/>
    <n v="618.79"/>
    <n v="938.04"/>
    <s v="Returning"/>
    <n v="0.03"/>
    <s v="Cash"/>
    <s v="Online"/>
    <s v="South-Bob"/>
    <n v="14047"/>
    <n v="0.34033729904908111"/>
    <n v="41273.759999999995"/>
  </r>
  <r>
    <n v="1008"/>
    <x v="100"/>
    <s v="Charlie"/>
    <s v="East"/>
    <x v="118"/>
    <n v="27"/>
    <x v="3"/>
    <n v="68.989999999999995"/>
    <n v="429.29"/>
    <s v="Returning"/>
    <n v="0.18"/>
    <s v="Credit Card"/>
    <s v="Retail"/>
    <s v="East-Charlie"/>
    <n v="9728.1"/>
    <n v="0.83929278576253818"/>
    <n v="11590.83"/>
  </r>
  <r>
    <n v="1035"/>
    <x v="101"/>
    <s v="Bob"/>
    <s v="South"/>
    <x v="119"/>
    <n v="9"/>
    <x v="2"/>
    <n v="2534.94"/>
    <n v="2755.56"/>
    <s v="Returning"/>
    <n v="0.13"/>
    <s v="Credit Card"/>
    <s v="Retail"/>
    <s v="South-Bob"/>
    <n v="1985.579999999999"/>
    <n v="8.0063580542611992E-2"/>
    <n v="24800.04"/>
  </r>
  <r>
    <n v="1035"/>
    <x v="42"/>
    <s v="Bob"/>
    <s v="West"/>
    <x v="120"/>
    <n v="47"/>
    <x v="3"/>
    <n v="2936.48"/>
    <n v="3096.64"/>
    <s v="New"/>
    <n v="0.06"/>
    <s v="Bank Transfer"/>
    <s v="Online"/>
    <s v="West-Bob"/>
    <n v="7527.5199999999932"/>
    <n v="5.1720574558230814E-2"/>
    <n v="145542.07999999999"/>
  </r>
  <r>
    <n v="1033"/>
    <x v="102"/>
    <s v="Bob"/>
    <s v="North"/>
    <x v="121"/>
    <n v="16"/>
    <x v="0"/>
    <n v="2915.88"/>
    <n v="3397.36"/>
    <s v="New"/>
    <n v="0.2"/>
    <s v="Bank Transfer"/>
    <s v="Retail"/>
    <s v="North-Bob"/>
    <n v="7703.68"/>
    <n v="0.14172180752113406"/>
    <n v="54357.760000000002"/>
  </r>
  <r>
    <n v="1005"/>
    <x v="103"/>
    <s v="Alice"/>
    <s v="East"/>
    <x v="122"/>
    <n v="12"/>
    <x v="3"/>
    <n v="319.83"/>
    <n v="802.43"/>
    <s v="New"/>
    <n v="0.04"/>
    <s v="Credit Card"/>
    <s v="Retail"/>
    <s v="East-Alice"/>
    <n v="5791.2"/>
    <n v="0.60142317709956006"/>
    <n v="9629.16"/>
  </r>
  <r>
    <n v="1041"/>
    <x v="104"/>
    <s v="Bob"/>
    <s v="South"/>
    <x v="123"/>
    <n v="31"/>
    <x v="1"/>
    <n v="1604.52"/>
    <n v="1756.34"/>
    <s v="Returning"/>
    <n v="0.17"/>
    <s v="Cash"/>
    <s v="Retail"/>
    <s v="South-Bob"/>
    <n v="4706.4199999999983"/>
    <n v="8.6441121878451752E-2"/>
    <n v="54446.54"/>
  </r>
  <r>
    <n v="1028"/>
    <x v="5"/>
    <s v="Alice"/>
    <s v="East"/>
    <x v="124"/>
    <n v="24"/>
    <x v="2"/>
    <n v="2521.0300000000002"/>
    <n v="2766.05"/>
    <s v="Returning"/>
    <n v="0.16"/>
    <s v="Bank Transfer"/>
    <s v="Retail"/>
    <s v="East-Alice"/>
    <n v="5880.48"/>
    <n v="8.8581189783264916E-2"/>
    <n v="66385.200000000012"/>
  </r>
  <r>
    <n v="1007"/>
    <x v="103"/>
    <s v="David"/>
    <s v="East"/>
    <x v="125"/>
    <n v="14"/>
    <x v="0"/>
    <n v="1122.07"/>
    <n v="1608.76"/>
    <s v="New"/>
    <n v="0.22"/>
    <s v="Cash"/>
    <s v="Retail"/>
    <s v="East-David"/>
    <n v="6813.6600000000008"/>
    <n v="0.30252492602998587"/>
    <n v="22522.639999999999"/>
  </r>
  <r>
    <n v="1073"/>
    <x v="87"/>
    <s v="Charlie"/>
    <s v="South"/>
    <x v="126"/>
    <n v="45"/>
    <x v="2"/>
    <n v="4369.5"/>
    <n v="4381.8900000000003"/>
    <s v="Returning"/>
    <n v="0.02"/>
    <s v="Credit Card"/>
    <s v="Retail"/>
    <s v="South-Charlie"/>
    <n v="557.55000000001473"/>
    <n v="2.8275470173829845E-3"/>
    <n v="197185.05000000002"/>
  </r>
  <r>
    <n v="1072"/>
    <x v="90"/>
    <s v="Alice"/>
    <s v="East"/>
    <x v="127"/>
    <n v="25"/>
    <x v="2"/>
    <n v="481.19"/>
    <n v="693.4"/>
    <s v="New"/>
    <n v="0.27"/>
    <s v="Credit Card"/>
    <s v="Retail"/>
    <s v="East-Alice"/>
    <n v="5305.2499999999991"/>
    <n v="0.30604268820305736"/>
    <n v="17335"/>
  </r>
  <r>
    <n v="1012"/>
    <x v="105"/>
    <s v="David"/>
    <s v="North"/>
    <x v="128"/>
    <n v="34"/>
    <x v="0"/>
    <n v="2462.5500000000002"/>
    <n v="2521.77"/>
    <s v="New"/>
    <n v="0.21"/>
    <s v="Bank Transfer"/>
    <s v="Retail"/>
    <s v="North-David"/>
    <n v="2013.4799999999932"/>
    <n v="2.3483505632948209E-2"/>
    <n v="85740.18"/>
  </r>
  <r>
    <n v="1034"/>
    <x v="106"/>
    <s v="Alice"/>
    <s v="West"/>
    <x v="129"/>
    <n v="3"/>
    <x v="2"/>
    <n v="3472.51"/>
    <n v="3732"/>
    <s v="New"/>
    <n v="0.06"/>
    <s v="Cash"/>
    <s v="Online"/>
    <s v="West-Alice"/>
    <n v="778.46999999999935"/>
    <n v="6.953108252947475E-2"/>
    <n v="11196"/>
  </r>
  <r>
    <n v="1033"/>
    <x v="107"/>
    <s v="Alice"/>
    <s v="West"/>
    <x v="130"/>
    <n v="24"/>
    <x v="2"/>
    <n v="1345.67"/>
    <n v="1367.76"/>
    <s v="New"/>
    <n v="0.06"/>
    <s v="Bank Transfer"/>
    <s v="Online"/>
    <s v="West-Alice"/>
    <n v="530.15999999999804"/>
    <n v="1.6150494238755277E-2"/>
    <n v="32826.239999999998"/>
  </r>
  <r>
    <n v="1048"/>
    <x v="108"/>
    <s v="Charlie"/>
    <s v="North"/>
    <x v="131"/>
    <n v="42"/>
    <x v="3"/>
    <n v="3139.99"/>
    <n v="3349.37"/>
    <s v="Returning"/>
    <n v="0.13"/>
    <s v="Credit Card"/>
    <s v="Retail"/>
    <s v="North-Charlie"/>
    <n v="8793.9600000000046"/>
    <n v="6.2513248760214635E-2"/>
    <n v="140673.54"/>
  </r>
  <r>
    <n v="1023"/>
    <x v="109"/>
    <s v="Eve"/>
    <s v="East"/>
    <x v="132"/>
    <n v="9"/>
    <x v="2"/>
    <n v="4155.46"/>
    <n v="4273.6000000000004"/>
    <s v="Returning"/>
    <n v="0.25"/>
    <s v="Cash"/>
    <s v="Retail"/>
    <s v="East-Eve"/>
    <n v="1063.2600000000029"/>
    <n v="2.76441407712468E-2"/>
    <n v="38462.400000000001"/>
  </r>
  <r>
    <n v="1062"/>
    <x v="110"/>
    <s v="Eve"/>
    <s v="South"/>
    <x v="133"/>
    <n v="26"/>
    <x v="2"/>
    <n v="992.17"/>
    <n v="1263.49"/>
    <s v="Returning"/>
    <n v="0.25"/>
    <s v="Bank Transfer"/>
    <s v="Retail"/>
    <s v="South-Eve"/>
    <n v="7054.3200000000015"/>
    <n v="0.21473854165842238"/>
    <n v="32850.74"/>
  </r>
  <r>
    <n v="1088"/>
    <x v="111"/>
    <s v="Alice"/>
    <s v="East"/>
    <x v="134"/>
    <n v="20"/>
    <x v="2"/>
    <n v="4590.24"/>
    <n v="5088.28"/>
    <s v="New"/>
    <n v="0.16"/>
    <s v="Bank Transfer"/>
    <s v="Retail"/>
    <s v="East-Alice"/>
    <n v="9960.7999999999993"/>
    <n v="9.7879833656952839E-2"/>
    <n v="101765.59999999999"/>
  </r>
  <r>
    <n v="1037"/>
    <x v="112"/>
    <s v="Bob"/>
    <s v="North"/>
    <x v="135"/>
    <n v="40"/>
    <x v="2"/>
    <n v="2790.11"/>
    <n v="3192.37"/>
    <s v="Returning"/>
    <n v="0.26"/>
    <s v="Bank Transfer"/>
    <s v="Online"/>
    <s v="North-Bob"/>
    <n v="16090.399999999991"/>
    <n v="0.12600669721868074"/>
    <n v="127694.79999999999"/>
  </r>
  <r>
    <n v="1099"/>
    <x v="113"/>
    <s v="David"/>
    <s v="East"/>
    <x v="136"/>
    <n v="10"/>
    <x v="0"/>
    <n v="1531.2"/>
    <n v="1955.56"/>
    <s v="New"/>
    <n v="0"/>
    <s v="Credit Card"/>
    <s v="Online"/>
    <s v="East-David"/>
    <n v="4243.5999999999985"/>
    <n v="0.21700177954141006"/>
    <n v="19555.599999999999"/>
  </r>
  <r>
    <n v="1044"/>
    <x v="114"/>
    <s v="Bob"/>
    <s v="West"/>
    <x v="137"/>
    <n v="19"/>
    <x v="1"/>
    <n v="2182.75"/>
    <n v="2504.0299999999902"/>
    <s v="New"/>
    <n v="0.01"/>
    <s v="Bank Transfer"/>
    <s v="Online"/>
    <s v="West-Bob"/>
    <n v="6104.3199999998142"/>
    <n v="0.12830517206263164"/>
    <n v="47576.569999999811"/>
  </r>
  <r>
    <n v="1086"/>
    <x v="115"/>
    <s v="Bob"/>
    <s v="East"/>
    <x v="138"/>
    <n v="3"/>
    <x v="3"/>
    <n v="1595.35"/>
    <n v="1625.70999999999"/>
    <s v="New"/>
    <n v="0.27"/>
    <s v="Cash"/>
    <s v="Online"/>
    <s v="East-Bob"/>
    <n v="91.079999999970369"/>
    <n v="1.8674917420690228E-2"/>
    <n v="4877.1299999999701"/>
  </r>
  <r>
    <n v="1091"/>
    <x v="116"/>
    <s v="Alice"/>
    <s v="North"/>
    <x v="139"/>
    <n v="24"/>
    <x v="2"/>
    <n v="3639.3"/>
    <n v="3750.63"/>
    <s v="New"/>
    <n v="0.23"/>
    <s v="Bank Transfer"/>
    <s v="Retail"/>
    <s v="North-Alice"/>
    <n v="2671.9199999999983"/>
    <n v="2.9683013253773347E-2"/>
    <n v="90015.12"/>
  </r>
  <r>
    <n v="1035"/>
    <x v="53"/>
    <s v="Alice"/>
    <s v="West"/>
    <x v="140"/>
    <n v="5"/>
    <x v="2"/>
    <n v="3991.69"/>
    <n v="4454.97"/>
    <s v="New"/>
    <n v="0.14000000000000001"/>
    <s v="Credit Card"/>
    <s v="Retail"/>
    <s v="West-Alice"/>
    <n v="2316.400000000001"/>
    <n v="0.10399172160530826"/>
    <n v="22274.850000000002"/>
  </r>
  <r>
    <n v="1065"/>
    <x v="117"/>
    <s v="Alice"/>
    <s v="East"/>
    <x v="141"/>
    <n v="3"/>
    <x v="0"/>
    <n v="4173.04"/>
    <n v="4362.4399999999996"/>
    <s v="New"/>
    <n v="0.23"/>
    <s v="Bank Transfer"/>
    <s v="Retail"/>
    <s v="East-Alice"/>
    <n v="568.19999999999891"/>
    <n v="4.3416069905832431E-2"/>
    <n v="13087.32"/>
  </r>
  <r>
    <n v="1099"/>
    <x v="106"/>
    <s v="Alice"/>
    <s v="East"/>
    <x v="142"/>
    <n v="27"/>
    <x v="1"/>
    <n v="4929.55"/>
    <n v="4990.33"/>
    <s v="Returning"/>
    <n v="0.28999999999999998"/>
    <s v="Credit Card"/>
    <s v="Online"/>
    <s v="East-Alice"/>
    <n v="1641.0599999999931"/>
    <n v="1.2179555259872542E-2"/>
    <n v="134738.91"/>
  </r>
  <r>
    <n v="1047"/>
    <x v="106"/>
    <s v="Eve"/>
    <s v="West"/>
    <x v="143"/>
    <n v="16"/>
    <x v="2"/>
    <n v="3966.86"/>
    <n v="4321.04"/>
    <s v="Returning"/>
    <n v="0.23"/>
    <s v="Credit Card"/>
    <s v="Retail"/>
    <s v="West-Eve"/>
    <n v="5666.8799999999974"/>
    <n v="8.1966378464443712E-2"/>
    <n v="69136.639999999999"/>
  </r>
  <r>
    <n v="1078"/>
    <x v="118"/>
    <s v="Alice"/>
    <s v="South"/>
    <x v="144"/>
    <n v="49"/>
    <x v="0"/>
    <n v="3026.85"/>
    <n v="3183.58"/>
    <s v="Returning"/>
    <n v="0.25"/>
    <s v="Cash"/>
    <s v="Retail"/>
    <s v="South-Alice"/>
    <n v="7679.77"/>
    <n v="4.9230740235835138E-2"/>
    <n v="155995.41999999998"/>
  </r>
  <r>
    <n v="1003"/>
    <x v="18"/>
    <s v="Eve"/>
    <s v="West"/>
    <x v="145"/>
    <n v="15"/>
    <x v="3"/>
    <n v="1729.14"/>
    <n v="1870.88"/>
    <s v="Returning"/>
    <n v="0.23"/>
    <s v="Cash"/>
    <s v="Online"/>
    <s v="West-Eve"/>
    <n v="2126.1000000000004"/>
    <n v="7.5761139143077069E-2"/>
    <n v="28063.200000000001"/>
  </r>
  <r>
    <n v="1001"/>
    <x v="39"/>
    <s v="Eve"/>
    <s v="South"/>
    <x v="146"/>
    <n v="35"/>
    <x v="3"/>
    <n v="2745.75"/>
    <n v="3244.76"/>
    <s v="New"/>
    <n v="0.05"/>
    <s v="Bank Transfer"/>
    <s v="Online"/>
    <s v="South-Eve"/>
    <n v="17465.350000000006"/>
    <n v="0.15378949444643059"/>
    <n v="113566.6"/>
  </r>
  <r>
    <n v="1005"/>
    <x v="119"/>
    <s v="Alice"/>
    <s v="North"/>
    <x v="147"/>
    <n v="12"/>
    <x v="2"/>
    <n v="253.29"/>
    <n v="683.78"/>
    <s v="New"/>
    <n v="0.25"/>
    <s v="Credit Card"/>
    <s v="Online"/>
    <s v="North-Alice"/>
    <n v="5165.88"/>
    <n v="0.62957383953903301"/>
    <n v="8205.36"/>
  </r>
  <r>
    <n v="1090"/>
    <x v="109"/>
    <s v="Charlie"/>
    <s v="North"/>
    <x v="148"/>
    <n v="41"/>
    <x v="2"/>
    <n v="3736.88"/>
    <n v="3946.77"/>
    <s v="Returning"/>
    <n v="0.06"/>
    <s v="Credit Card"/>
    <s v="Online"/>
    <s v="North-Charlie"/>
    <n v="8605.4899999999943"/>
    <n v="5.3180195450963662E-2"/>
    <n v="161817.57"/>
  </r>
  <r>
    <n v="1014"/>
    <x v="5"/>
    <s v="David"/>
    <s v="West"/>
    <x v="149"/>
    <n v="44"/>
    <x v="1"/>
    <n v="2257.48"/>
    <n v="2747.81"/>
    <s v="Returning"/>
    <n v="0.27"/>
    <s v="Cash"/>
    <s v="Online"/>
    <s v="West-David"/>
    <n v="21574.519999999997"/>
    <n v="0.17844392443436771"/>
    <n v="120903.64"/>
  </r>
  <r>
    <n v="1027"/>
    <x v="120"/>
    <s v="Bob"/>
    <s v="West"/>
    <x v="150"/>
    <n v="26"/>
    <x v="1"/>
    <n v="149.11000000000001"/>
    <n v="477.67"/>
    <s v="Returning"/>
    <n v="0.14000000000000001"/>
    <s v="Cash"/>
    <s v="Retail"/>
    <s v="West-Bob"/>
    <n v="8542.56"/>
    <n v="0.6878388845855925"/>
    <n v="12419.42"/>
  </r>
  <r>
    <n v="1009"/>
    <x v="1"/>
    <s v="Eve"/>
    <s v="North"/>
    <x v="151"/>
    <n v="47"/>
    <x v="2"/>
    <n v="359.41"/>
    <n v="733"/>
    <s v="Returning"/>
    <n v="0.2"/>
    <s v="Bank Transfer"/>
    <s v="Retail"/>
    <s v="North-Eve"/>
    <n v="17558.73"/>
    <n v="0.50967257844474756"/>
    <n v="34451"/>
  </r>
  <r>
    <n v="1079"/>
    <x v="121"/>
    <s v="David"/>
    <s v="South"/>
    <x v="152"/>
    <n v="34"/>
    <x v="0"/>
    <n v="1967.96"/>
    <n v="1993.4"/>
    <s v="Returning"/>
    <n v="0.15"/>
    <s v="Credit Card"/>
    <s v="Online"/>
    <s v="South-David"/>
    <n v="864.96000000000186"/>
    <n v="1.2762114979432151E-2"/>
    <n v="67775.600000000006"/>
  </r>
  <r>
    <n v="1015"/>
    <x v="15"/>
    <s v="Charlie"/>
    <s v="North"/>
    <x v="153"/>
    <n v="23"/>
    <x v="1"/>
    <n v="2937.94"/>
    <n v="3007.53"/>
    <s v="Returning"/>
    <n v="0.03"/>
    <s v="Cash"/>
    <s v="Retail"/>
    <s v="North-Charlie"/>
    <n v="1600.5700000000033"/>
    <n v="2.3138588808756733E-2"/>
    <n v="69173.19"/>
  </r>
  <r>
    <n v="1090"/>
    <x v="122"/>
    <s v="Bob"/>
    <s v="West"/>
    <x v="154"/>
    <n v="31"/>
    <x v="2"/>
    <n v="2347.81"/>
    <n v="2668.02"/>
    <s v="Returning"/>
    <n v="0.09"/>
    <s v="Bank Transfer"/>
    <s v="Retail"/>
    <s v="West-Bob"/>
    <n v="9926.510000000002"/>
    <n v="0.12001784094572007"/>
    <n v="82708.62"/>
  </r>
  <r>
    <n v="1042"/>
    <x v="121"/>
    <s v="Bob"/>
    <s v="North"/>
    <x v="155"/>
    <n v="20"/>
    <x v="1"/>
    <n v="3115.06"/>
    <n v="3565.58"/>
    <s v="Returning"/>
    <n v="0.3"/>
    <s v="Credit Card"/>
    <s v="Retail"/>
    <s v="North-Bob"/>
    <n v="9010.4"/>
    <n v="0.1263525148783648"/>
    <n v="71311.600000000006"/>
  </r>
  <r>
    <n v="1077"/>
    <x v="61"/>
    <s v="Eve"/>
    <s v="West"/>
    <x v="156"/>
    <n v="12"/>
    <x v="2"/>
    <n v="2427.46"/>
    <n v="2743.09"/>
    <s v="New"/>
    <n v="0.28999999999999998"/>
    <s v="Credit Card"/>
    <s v="Retail"/>
    <s v="West-Eve"/>
    <n v="3787.5600000000013"/>
    <n v="0.11506366907392761"/>
    <n v="32917.08"/>
  </r>
  <r>
    <n v="1051"/>
    <x v="123"/>
    <s v="Alice"/>
    <s v="West"/>
    <x v="157"/>
    <n v="23"/>
    <x v="3"/>
    <n v="3325.43"/>
    <n v="3401.1"/>
    <s v="New"/>
    <n v="0.1"/>
    <s v="Cash"/>
    <s v="Online"/>
    <s v="West-Alice"/>
    <n v="1740.4100000000017"/>
    <n v="2.2248684249213509E-2"/>
    <n v="78225.3"/>
  </r>
  <r>
    <n v="1063"/>
    <x v="15"/>
    <s v="Charlie"/>
    <s v="North"/>
    <x v="158"/>
    <n v="4"/>
    <x v="2"/>
    <n v="1134.67"/>
    <n v="1201.3900000000001"/>
    <s v="New"/>
    <n v="0.3"/>
    <s v="Bank Transfer"/>
    <s v="Retail"/>
    <s v="North-Charlie"/>
    <n v="266.88000000000011"/>
    <n v="5.5535671180882165E-2"/>
    <n v="4805.5600000000004"/>
  </r>
  <r>
    <n v="1096"/>
    <x v="124"/>
    <s v="Eve"/>
    <s v="South"/>
    <x v="159"/>
    <n v="23"/>
    <x v="3"/>
    <n v="608.57000000000005"/>
    <n v="1032.22"/>
    <s v="New"/>
    <n v="0.25"/>
    <s v="Cash"/>
    <s v="Retail"/>
    <s v="South-Eve"/>
    <n v="9743.9499999999989"/>
    <n v="0.41042607196140352"/>
    <n v="23741.06"/>
  </r>
  <r>
    <n v="1052"/>
    <x v="125"/>
    <s v="Charlie"/>
    <s v="East"/>
    <x v="160"/>
    <n v="48"/>
    <x v="1"/>
    <n v="3002.35"/>
    <n v="3080.61"/>
    <s v="Returning"/>
    <n v="0.18"/>
    <s v="Bank Transfer"/>
    <s v="Retail"/>
    <s v="East-Charlie"/>
    <n v="3756.4800000000105"/>
    <n v="2.5404059585601622E-2"/>
    <n v="147869.28"/>
  </r>
  <r>
    <n v="1096"/>
    <x v="126"/>
    <s v="Alice"/>
    <s v="North"/>
    <x v="161"/>
    <n v="48"/>
    <x v="2"/>
    <n v="2449.21"/>
    <n v="2714.12"/>
    <s v="New"/>
    <n v="0.01"/>
    <s v="Credit Card"/>
    <s v="Online"/>
    <s v="North-Alice"/>
    <n v="12715.679999999993"/>
    <n v="9.7604380056887638E-2"/>
    <n v="130277.75999999999"/>
  </r>
  <r>
    <n v="1004"/>
    <x v="35"/>
    <s v="Alice"/>
    <s v="East"/>
    <x v="162"/>
    <n v="1"/>
    <x v="1"/>
    <n v="182.99"/>
    <n v="211.18"/>
    <s v="Returning"/>
    <n v="0.27"/>
    <s v="Bank Transfer"/>
    <s v="Retail"/>
    <s v="East-Alice"/>
    <n v="28.189999999999998"/>
    <n v="0.13348801969883511"/>
    <n v="211.18"/>
  </r>
  <r>
    <n v="1094"/>
    <x v="69"/>
    <s v="Eve"/>
    <s v="North"/>
    <x v="163"/>
    <n v="25"/>
    <x v="3"/>
    <n v="1933.39"/>
    <n v="1982.92"/>
    <s v="New"/>
    <n v="0.17"/>
    <s v="Bank Transfer"/>
    <s v="Online"/>
    <s v="North-Eve"/>
    <n v="1238.2499999999993"/>
    <n v="2.4978314808464273E-2"/>
    <n v="49573"/>
  </r>
  <r>
    <n v="1023"/>
    <x v="99"/>
    <s v="Alice"/>
    <s v="East"/>
    <x v="164"/>
    <n v="2"/>
    <x v="2"/>
    <n v="575.32000000000005"/>
    <n v="914.77"/>
    <s v="Returning"/>
    <n v="0.26"/>
    <s v="Bank Transfer"/>
    <s v="Online"/>
    <s v="East-Alice"/>
    <n v="678.89999999999986"/>
    <n v="0.37107688271368755"/>
    <n v="1829.54"/>
  </r>
  <r>
    <n v="1015"/>
    <x v="127"/>
    <s v="David"/>
    <s v="South"/>
    <x v="165"/>
    <n v="30"/>
    <x v="1"/>
    <n v="2680.22"/>
    <n v="3027.9199999999901"/>
    <s v="Returning"/>
    <n v="0.25"/>
    <s v="Bank Transfer"/>
    <s v="Online"/>
    <s v="South-David"/>
    <n v="10430.999999999709"/>
    <n v="0.11483130333694135"/>
    <n v="90837.5999999997"/>
  </r>
  <r>
    <n v="1043"/>
    <x v="128"/>
    <s v="Bob"/>
    <s v="South"/>
    <x v="166"/>
    <n v="3"/>
    <x v="3"/>
    <n v="2009.1"/>
    <n v="2186.42"/>
    <s v="New"/>
    <n v="0.25"/>
    <s v="Bank Transfer"/>
    <s v="Online"/>
    <s v="South-Bob"/>
    <n v="531.96000000000049"/>
    <n v="8.1100611959275967E-2"/>
    <n v="6559.26"/>
  </r>
  <r>
    <n v="1029"/>
    <x v="111"/>
    <s v="Eve"/>
    <s v="North"/>
    <x v="167"/>
    <n v="21"/>
    <x v="1"/>
    <n v="3085.1"/>
    <n v="3200.75"/>
    <s v="New"/>
    <n v="0.21"/>
    <s v="Cash"/>
    <s v="Retail"/>
    <s v="North-Eve"/>
    <n v="2428.6500000000019"/>
    <n v="3.6132156525814293E-2"/>
    <n v="67215.75"/>
  </r>
  <r>
    <n v="1036"/>
    <x v="40"/>
    <s v="Charlie"/>
    <s v="West"/>
    <x v="168"/>
    <n v="25"/>
    <x v="0"/>
    <n v="4037.73"/>
    <n v="4446.45"/>
    <s v="Returning"/>
    <n v="0.09"/>
    <s v="Bank Transfer"/>
    <s v="Online"/>
    <s v="West-Charlie"/>
    <n v="10217.999999999995"/>
    <n v="9.1920520864959637E-2"/>
    <n v="111161.25"/>
  </r>
  <r>
    <n v="1013"/>
    <x v="129"/>
    <s v="David"/>
    <s v="East"/>
    <x v="169"/>
    <n v="20"/>
    <x v="3"/>
    <n v="1533.36"/>
    <n v="1649.73999999999"/>
    <s v="Returning"/>
    <n v="0.1"/>
    <s v="Bank Transfer"/>
    <s v="Online"/>
    <s v="East-David"/>
    <n v="2327.5999999998021"/>
    <n v="7.0544449428389208E-2"/>
    <n v="32994.799999999799"/>
  </r>
  <r>
    <n v="1032"/>
    <x v="130"/>
    <s v="Eve"/>
    <s v="West"/>
    <x v="170"/>
    <n v="49"/>
    <x v="3"/>
    <n v="4812.41"/>
    <n v="5088"/>
    <s v="Returning"/>
    <n v="0.09"/>
    <s v="Credit Card"/>
    <s v="Online"/>
    <s v="West-Eve"/>
    <n v="13503.910000000007"/>
    <n v="5.4164701257861665E-2"/>
    <n v="249312"/>
  </r>
  <r>
    <n v="1071"/>
    <x v="131"/>
    <s v="Alice"/>
    <s v="West"/>
    <x v="171"/>
    <n v="22"/>
    <x v="3"/>
    <n v="2701.39"/>
    <n v="3185.81"/>
    <s v="New"/>
    <n v="0.01"/>
    <s v="Bank Transfer"/>
    <s v="Online"/>
    <s v="West-Alice"/>
    <n v="10657.240000000002"/>
    <n v="0.15205552120182941"/>
    <n v="70087.819999999992"/>
  </r>
  <r>
    <n v="1059"/>
    <x v="132"/>
    <s v="Alice"/>
    <s v="West"/>
    <x v="172"/>
    <n v="21"/>
    <x v="2"/>
    <n v="3110.54"/>
    <n v="3192.99"/>
    <s v="New"/>
    <n v="0.17"/>
    <s v="Credit Card"/>
    <s v="Online"/>
    <s v="West-Alice"/>
    <n v="1731.4499999999962"/>
    <n v="2.5822191738777707E-2"/>
    <n v="67052.789999999994"/>
  </r>
  <r>
    <n v="1086"/>
    <x v="13"/>
    <s v="Alice"/>
    <s v="South"/>
    <x v="173"/>
    <n v="33"/>
    <x v="2"/>
    <n v="3419.33"/>
    <n v="3890.3599999999901"/>
    <s v="Returning"/>
    <n v="0.21"/>
    <s v="Cash"/>
    <s v="Retail"/>
    <s v="South-Alice"/>
    <n v="15543.989999999676"/>
    <n v="0.12107619860372598"/>
    <n v="128381.87999999967"/>
  </r>
  <r>
    <n v="1028"/>
    <x v="133"/>
    <s v="Alice"/>
    <s v="North"/>
    <x v="174"/>
    <n v="38"/>
    <x v="2"/>
    <n v="3350.32"/>
    <n v="3449.94"/>
    <s v="New"/>
    <n v="0.26"/>
    <s v="Cash"/>
    <s v="Online"/>
    <s v="North-Alice"/>
    <n v="3785.5599999999959"/>
    <n v="2.887586450778851E-2"/>
    <n v="131097.72"/>
  </r>
  <r>
    <n v="1066"/>
    <x v="134"/>
    <s v="Charlie"/>
    <s v="North"/>
    <x v="175"/>
    <n v="15"/>
    <x v="0"/>
    <n v="2579.31"/>
    <n v="2867.36"/>
    <s v="Returning"/>
    <n v="0.04"/>
    <s v="Bank Transfer"/>
    <s v="Retail"/>
    <s v="North-Charlie"/>
    <n v="4320.7500000000027"/>
    <n v="0.10045826125774238"/>
    <n v="43010.400000000001"/>
  </r>
  <r>
    <n v="1042"/>
    <x v="120"/>
    <s v="David"/>
    <s v="South"/>
    <x v="176"/>
    <n v="46"/>
    <x v="0"/>
    <n v="2172.38"/>
    <n v="2367.11"/>
    <s v="New"/>
    <n v="0.16"/>
    <s v="Cash"/>
    <s v="Retail"/>
    <s v="South-David"/>
    <n v="8957.5800000000017"/>
    <n v="8.2264871509984752E-2"/>
    <n v="108887.06000000001"/>
  </r>
  <r>
    <n v="1045"/>
    <x v="121"/>
    <s v="Bob"/>
    <s v="South"/>
    <x v="177"/>
    <n v="15"/>
    <x v="3"/>
    <n v="316.22000000000003"/>
    <n v="799.04"/>
    <s v="New"/>
    <n v="0"/>
    <s v="Bank Transfer"/>
    <s v="Online"/>
    <s v="South-Bob"/>
    <n v="7242.2999999999993"/>
    <n v="0.60425010012014424"/>
    <n v="11985.599999999999"/>
  </r>
  <r>
    <n v="1062"/>
    <x v="135"/>
    <s v="Charlie"/>
    <s v="North"/>
    <x v="178"/>
    <n v="46"/>
    <x v="0"/>
    <n v="159.32"/>
    <n v="303.36"/>
    <s v="New"/>
    <n v="0.03"/>
    <s v="Cash"/>
    <s v="Retail"/>
    <s v="North-Charlie"/>
    <n v="6625.8400000000011"/>
    <n v="0.47481540084388191"/>
    <n v="13954.560000000001"/>
  </r>
  <r>
    <n v="1057"/>
    <x v="70"/>
    <s v="Charlie"/>
    <s v="West"/>
    <x v="179"/>
    <n v="25"/>
    <x v="1"/>
    <n v="1821.91"/>
    <n v="2027.74"/>
    <s v="New"/>
    <n v="0.02"/>
    <s v="Bank Transfer"/>
    <s v="Retail"/>
    <s v="West-Charlie"/>
    <n v="5145.7499999999982"/>
    <n v="0.10150709657056621"/>
    <n v="50693.5"/>
  </r>
  <r>
    <n v="1006"/>
    <x v="121"/>
    <s v="Bob"/>
    <s v="East"/>
    <x v="180"/>
    <n v="21"/>
    <x v="3"/>
    <n v="1701.62"/>
    <n v="2193.2199999999998"/>
    <s v="New"/>
    <n v="0.22"/>
    <s v="Bank Transfer"/>
    <s v="Retail"/>
    <s v="East-Bob"/>
    <n v="10323.599999999999"/>
    <n v="0.22414532057887487"/>
    <n v="46057.619999999995"/>
  </r>
  <r>
    <n v="1028"/>
    <x v="57"/>
    <s v="Bob"/>
    <s v="East"/>
    <x v="181"/>
    <n v="24"/>
    <x v="3"/>
    <n v="1969.09"/>
    <n v="2241.96"/>
    <s v="Returning"/>
    <n v="0.02"/>
    <s v="Credit Card"/>
    <s v="Online"/>
    <s v="East-Bob"/>
    <n v="6548.8800000000028"/>
    <n v="0.12171046762654111"/>
    <n v="53807.040000000001"/>
  </r>
  <r>
    <n v="1028"/>
    <x v="50"/>
    <s v="Alice"/>
    <s v="East"/>
    <x v="182"/>
    <n v="5"/>
    <x v="1"/>
    <n v="734.92"/>
    <n v="991.21"/>
    <s v="Returning"/>
    <n v="0.21"/>
    <s v="Credit Card"/>
    <s v="Online"/>
    <s v="East-Alice"/>
    <n v="1281.4500000000003"/>
    <n v="0.25856276671946415"/>
    <n v="4956.05"/>
  </r>
  <r>
    <n v="1044"/>
    <x v="136"/>
    <s v="Charlie"/>
    <s v="West"/>
    <x v="183"/>
    <n v="6"/>
    <x v="3"/>
    <n v="3703.93"/>
    <n v="3840.24"/>
    <s v="New"/>
    <n v="7.0000000000000007E-2"/>
    <s v="Credit Card"/>
    <s v="Online"/>
    <s v="West-Charlie"/>
    <n v="817.85999999999967"/>
    <n v="3.5495177384746772E-2"/>
    <n v="23041.439999999999"/>
  </r>
  <r>
    <n v="1084"/>
    <x v="46"/>
    <s v="Eve"/>
    <s v="North"/>
    <x v="184"/>
    <n v="49"/>
    <x v="0"/>
    <n v="4291.97"/>
    <n v="4645.6400000000003"/>
    <s v="Returning"/>
    <n v="0.26"/>
    <s v="Credit Card"/>
    <s v="Online"/>
    <s v="North-Eve"/>
    <n v="17329.830000000002"/>
    <n v="7.6129446104304249E-2"/>
    <n v="227636.36000000002"/>
  </r>
  <r>
    <n v="1030"/>
    <x v="75"/>
    <s v="Bob"/>
    <s v="South"/>
    <x v="185"/>
    <n v="43"/>
    <x v="2"/>
    <n v="4696.6400000000003"/>
    <n v="4713.68"/>
    <s v="Returning"/>
    <n v="0.24"/>
    <s v="Bank Transfer"/>
    <s v="Online"/>
    <s v="South-Bob"/>
    <n v="732.71999999999844"/>
    <n v="3.6150099285483872E-3"/>
    <n v="202688.24000000002"/>
  </r>
  <r>
    <n v="1062"/>
    <x v="25"/>
    <s v="Bob"/>
    <s v="North"/>
    <x v="186"/>
    <n v="48"/>
    <x v="1"/>
    <n v="2487.19"/>
    <n v="2521.4499999999998"/>
    <s v="New"/>
    <n v="0.28999999999999998"/>
    <s v="Cash"/>
    <s v="Online"/>
    <s v="North-Bob"/>
    <n v="1644.4799999999886"/>
    <n v="1.3587419936940954E-2"/>
    <n v="121029.59999999999"/>
  </r>
  <r>
    <n v="1075"/>
    <x v="137"/>
    <s v="David"/>
    <s v="West"/>
    <x v="187"/>
    <n v="44"/>
    <x v="0"/>
    <n v="3519.29"/>
    <n v="3822.98"/>
    <s v="Returning"/>
    <n v="0.27"/>
    <s v="Bank Transfer"/>
    <s v="Online"/>
    <s v="West-David"/>
    <n v="13362.360000000002"/>
    <n v="7.943803001846729E-2"/>
    <n v="168211.12"/>
  </r>
  <r>
    <n v="1092"/>
    <x v="30"/>
    <s v="Eve"/>
    <s v="South"/>
    <x v="188"/>
    <n v="47"/>
    <x v="1"/>
    <n v="4284.9799999999996"/>
    <n v="4462.3999999999996"/>
    <s v="New"/>
    <n v="0.28000000000000003"/>
    <s v="Credit Card"/>
    <s v="Retail"/>
    <s v="South-Eve"/>
    <n v="8338.7400000000034"/>
    <n v="3.9758874148440322E-2"/>
    <n v="209732.8"/>
  </r>
  <r>
    <n v="1089"/>
    <x v="138"/>
    <s v="Eve"/>
    <s v="West"/>
    <x v="189"/>
    <n v="23"/>
    <x v="1"/>
    <n v="2120.54"/>
    <n v="2597.67"/>
    <s v="Returning"/>
    <n v="0.26"/>
    <s v="Credit Card"/>
    <s v="Retail"/>
    <s v="West-Eve"/>
    <n v="10973.990000000002"/>
    <n v="0.18367614054133127"/>
    <n v="59746.41"/>
  </r>
  <r>
    <n v="1062"/>
    <x v="9"/>
    <s v="Bob"/>
    <s v="East"/>
    <x v="190"/>
    <n v="4"/>
    <x v="3"/>
    <n v="1581.59"/>
    <n v="2034.1499999999901"/>
    <s v="Returning"/>
    <n v="0.21"/>
    <s v="Cash"/>
    <s v="Online"/>
    <s v="East-Bob"/>
    <n v="1810.2399999999607"/>
    <n v="0.22248113462625291"/>
    <n v="8136.5999999999603"/>
  </r>
  <r>
    <n v="1097"/>
    <x v="139"/>
    <s v="Alice"/>
    <s v="East"/>
    <x v="191"/>
    <n v="27"/>
    <x v="3"/>
    <n v="4686.79"/>
    <n v="5046.51"/>
    <s v="Returning"/>
    <n v="0.05"/>
    <s v="Credit Card"/>
    <s v="Retail"/>
    <s v="East-Alice"/>
    <n v="9712.440000000006"/>
    <n v="7.1280944652839323E-2"/>
    <n v="136255.77000000002"/>
  </r>
  <r>
    <n v="1001"/>
    <x v="140"/>
    <s v="David"/>
    <s v="West"/>
    <x v="192"/>
    <n v="18"/>
    <x v="0"/>
    <n v="2602.6"/>
    <n v="3013.49"/>
    <s v="Returning"/>
    <n v="0.08"/>
    <s v="Bank Transfer"/>
    <s v="Online"/>
    <s v="West-David"/>
    <n v="7396.0199999999977"/>
    <n v="0.13635021188057697"/>
    <n v="54242.819999999992"/>
  </r>
  <r>
    <n v="1027"/>
    <x v="83"/>
    <s v="Eve"/>
    <s v="South"/>
    <x v="193"/>
    <n v="21"/>
    <x v="1"/>
    <n v="2511.41"/>
    <n v="2848.3999999999901"/>
    <s v="Returning"/>
    <n v="0.06"/>
    <s v="Bank Transfer"/>
    <s v="Online"/>
    <s v="South-Eve"/>
    <n v="7076.7899999997953"/>
    <n v="0.11830852408369311"/>
    <n v="59816.39999999979"/>
  </r>
  <r>
    <n v="1062"/>
    <x v="141"/>
    <s v="Bob"/>
    <s v="South"/>
    <x v="194"/>
    <n v="28"/>
    <x v="3"/>
    <n v="933.16"/>
    <n v="1004.69999999999"/>
    <s v="Returning"/>
    <n v="0.18"/>
    <s v="Bank Transfer"/>
    <s v="Online"/>
    <s v="South-Bob"/>
    <n v="2003.119999999722"/>
    <n v="7.1205334925839331E-2"/>
    <n v="28131.599999999722"/>
  </r>
  <r>
    <n v="1077"/>
    <x v="142"/>
    <s v="Eve"/>
    <s v="North"/>
    <x v="195"/>
    <n v="35"/>
    <x v="3"/>
    <n v="585.37"/>
    <n v="970.49"/>
    <s v="Returning"/>
    <n v="0.15"/>
    <s v="Bank Transfer"/>
    <s v="Retail"/>
    <s v="North-Eve"/>
    <n v="13479.2"/>
    <n v="0.39683046708363817"/>
    <n v="33967.15"/>
  </r>
  <r>
    <n v="1003"/>
    <x v="124"/>
    <s v="David"/>
    <s v="East"/>
    <x v="196"/>
    <n v="22"/>
    <x v="1"/>
    <n v="4218.43"/>
    <n v="4331.42"/>
    <s v="New"/>
    <n v="0.26"/>
    <s v="Bank Transfer"/>
    <s v="Online"/>
    <s v="East-David"/>
    <n v="2485.7799999999952"/>
    <n v="2.6086133415831245E-2"/>
    <n v="95291.24"/>
  </r>
  <r>
    <n v="1070"/>
    <x v="128"/>
    <s v="David"/>
    <s v="North"/>
    <x v="197"/>
    <n v="40"/>
    <x v="0"/>
    <n v="3089.96"/>
    <n v="3258.45"/>
    <s v="New"/>
    <n v="0.28999999999999998"/>
    <s v="Cash"/>
    <s v="Online"/>
    <s v="North-David"/>
    <n v="6739.5999999999913"/>
    <n v="5.1708634473445897E-2"/>
    <n v="130338"/>
  </r>
  <r>
    <n v="1072"/>
    <x v="143"/>
    <s v="Charlie"/>
    <s v="North"/>
    <x v="198"/>
    <n v="23"/>
    <x v="0"/>
    <n v="1662.83"/>
    <n v="2074.25"/>
    <s v="New"/>
    <n v="0.12"/>
    <s v="Bank Transfer"/>
    <s v="Online"/>
    <s v="North-Charlie"/>
    <n v="9462.6600000000017"/>
    <n v="0.19834639026154036"/>
    <n v="47707.75"/>
  </r>
  <r>
    <n v="1027"/>
    <x v="61"/>
    <s v="Bob"/>
    <s v="West"/>
    <x v="199"/>
    <n v="3"/>
    <x v="1"/>
    <n v="999.09"/>
    <n v="1271.99"/>
    <s v="New"/>
    <n v="0.15"/>
    <s v="Credit Card"/>
    <s v="Online"/>
    <s v="West-Bob"/>
    <n v="818.69999999999993"/>
    <n v="0.21454571183735718"/>
    <n v="3815.9700000000003"/>
  </r>
  <r>
    <n v="1009"/>
    <x v="39"/>
    <s v="David"/>
    <s v="West"/>
    <x v="200"/>
    <n v="40"/>
    <x v="0"/>
    <n v="2799.71"/>
    <n v="3231.08"/>
    <s v="Returning"/>
    <n v="0.28999999999999998"/>
    <s v="Credit Card"/>
    <s v="Retail"/>
    <s v="West-David"/>
    <n v="17254.799999999996"/>
    <n v="0.13350644366589495"/>
    <n v="129243.2"/>
  </r>
  <r>
    <n v="1062"/>
    <x v="144"/>
    <s v="Charlie"/>
    <s v="North"/>
    <x v="201"/>
    <n v="10"/>
    <x v="3"/>
    <n v="2940.4"/>
    <n v="3054.79"/>
    <s v="Returning"/>
    <n v="0.08"/>
    <s v="Credit Card"/>
    <s v="Online"/>
    <s v="North-Charlie"/>
    <n v="1143.8999999999987"/>
    <n v="3.7446109225184009E-2"/>
    <n v="30547.9"/>
  </r>
  <r>
    <n v="1037"/>
    <x v="112"/>
    <s v="Charlie"/>
    <s v="East"/>
    <x v="202"/>
    <n v="25"/>
    <x v="1"/>
    <n v="1074.6199999999999"/>
    <n v="1382.4299999999901"/>
    <s v="Returning"/>
    <n v="0.24"/>
    <s v="Credit Card"/>
    <s v="Retail"/>
    <s v="East-Charlie"/>
    <n v="7695.2499999997544"/>
    <n v="0.22265865179429872"/>
    <n v="34560.749999999753"/>
  </r>
  <r>
    <n v="1097"/>
    <x v="131"/>
    <s v="Eve"/>
    <s v="West"/>
    <x v="203"/>
    <n v="49"/>
    <x v="3"/>
    <n v="4264.46"/>
    <n v="4315.5200000000004"/>
    <s v="New"/>
    <n v="7.0000000000000007E-2"/>
    <s v="Cash"/>
    <s v="Retail"/>
    <s v="West-Eve"/>
    <n v="2501.9400000000196"/>
    <n v="1.1831714370458345E-2"/>
    <n v="211460.48000000001"/>
  </r>
  <r>
    <n v="1051"/>
    <x v="145"/>
    <s v="Eve"/>
    <s v="North"/>
    <x v="204"/>
    <n v="8"/>
    <x v="2"/>
    <n v="467.11"/>
    <n v="792.21"/>
    <s v="New"/>
    <n v="0.2"/>
    <s v="Credit Card"/>
    <s v="Online"/>
    <s v="North-Eve"/>
    <n v="2600.8000000000002"/>
    <n v="0.41037098749069062"/>
    <n v="6337.68"/>
  </r>
  <r>
    <n v="1044"/>
    <x v="146"/>
    <s v="Charlie"/>
    <s v="North"/>
    <x v="205"/>
    <n v="11"/>
    <x v="2"/>
    <n v="1812.66"/>
    <n v="2196.3000000000002"/>
    <s v="New"/>
    <n v="0.08"/>
    <s v="Cash"/>
    <s v="Online"/>
    <s v="North-Charlie"/>
    <n v="4220.0400000000009"/>
    <n v="0.17467559076628877"/>
    <n v="24159.300000000003"/>
  </r>
  <r>
    <n v="1024"/>
    <x v="147"/>
    <s v="Eve"/>
    <s v="North"/>
    <x v="206"/>
    <n v="5"/>
    <x v="0"/>
    <n v="3417.9"/>
    <n v="3714.52"/>
    <s v="Returning"/>
    <n v="0.27"/>
    <s v="Credit Card"/>
    <s v="Retail"/>
    <s v="North-Eve"/>
    <n v="1483.0999999999995"/>
    <n v="7.985419381239027E-2"/>
    <n v="18572.599999999999"/>
  </r>
  <r>
    <n v="1079"/>
    <x v="148"/>
    <s v="David"/>
    <s v="North"/>
    <x v="207"/>
    <n v="45"/>
    <x v="2"/>
    <n v="1406.9"/>
    <n v="1547.35"/>
    <s v="New"/>
    <n v="0.17"/>
    <s v="Cash"/>
    <s v="Retail"/>
    <s v="North-David"/>
    <n v="6320.2499999999918"/>
    <n v="9.0768087375189724E-2"/>
    <n v="69630.75"/>
  </r>
  <r>
    <n v="1059"/>
    <x v="149"/>
    <s v="Alice"/>
    <s v="North"/>
    <x v="208"/>
    <n v="37"/>
    <x v="3"/>
    <n v="4146.99"/>
    <n v="4172.3499999999904"/>
    <s v="Returning"/>
    <n v="0.06"/>
    <s v="Cash"/>
    <s v="Retail"/>
    <s v="North-Alice"/>
    <n v="938.31999999965137"/>
    <n v="6.0781094586960915E-3"/>
    <n v="154376.94999999963"/>
  </r>
  <r>
    <n v="1032"/>
    <x v="106"/>
    <s v="David"/>
    <s v="North"/>
    <x v="209"/>
    <n v="45"/>
    <x v="2"/>
    <n v="3712.35"/>
    <n v="3780.88"/>
    <s v="New"/>
    <n v="7.0000000000000007E-2"/>
    <s v="Cash"/>
    <s v="Retail"/>
    <s v="North-David"/>
    <n v="3083.850000000009"/>
    <n v="1.8125409957470272E-2"/>
    <n v="170139.6"/>
  </r>
  <r>
    <n v="1096"/>
    <x v="150"/>
    <s v="Charlie"/>
    <s v="West"/>
    <x v="210"/>
    <n v="38"/>
    <x v="3"/>
    <n v="3955.66"/>
    <n v="4270.59"/>
    <s v="Returning"/>
    <n v="0.15"/>
    <s v="Credit Card"/>
    <s v="Online"/>
    <s v="West-Charlie"/>
    <n v="11967.340000000011"/>
    <n v="7.3743908921249823E-2"/>
    <n v="162282.42000000001"/>
  </r>
  <r>
    <n v="1088"/>
    <x v="1"/>
    <s v="Charlie"/>
    <s v="East"/>
    <x v="211"/>
    <n v="29"/>
    <x v="0"/>
    <n v="639.58000000000004"/>
    <n v="1107.45"/>
    <s v="New"/>
    <n v="0.28999999999999998"/>
    <s v="Cash"/>
    <s v="Retail"/>
    <s v="East-Charlie"/>
    <n v="13568.23"/>
    <n v="0.42247505530723728"/>
    <n v="32116.050000000003"/>
  </r>
  <r>
    <n v="1052"/>
    <x v="106"/>
    <s v="David"/>
    <s v="North"/>
    <x v="212"/>
    <n v="5"/>
    <x v="0"/>
    <n v="745.71"/>
    <n v="856.91"/>
    <s v="Returning"/>
    <n v="0.23"/>
    <s v="Bank Transfer"/>
    <s v="Retail"/>
    <s v="North-David"/>
    <n v="555.99999999999966"/>
    <n v="0.12976858713283768"/>
    <n v="4284.55"/>
  </r>
  <r>
    <n v="1062"/>
    <x v="94"/>
    <s v="Eve"/>
    <s v="South"/>
    <x v="213"/>
    <n v="9"/>
    <x v="3"/>
    <n v="1468.05"/>
    <n v="1838.21"/>
    <s v="New"/>
    <n v="0.15"/>
    <s v="Bank Transfer"/>
    <s v="Retail"/>
    <s v="South-Eve"/>
    <n v="3331.4400000000005"/>
    <n v="0.20136981084859731"/>
    <n v="16543.89"/>
  </r>
  <r>
    <n v="1058"/>
    <x v="151"/>
    <s v="Eve"/>
    <s v="West"/>
    <x v="214"/>
    <n v="48"/>
    <x v="2"/>
    <n v="2614.48"/>
    <n v="3049.04"/>
    <s v="New"/>
    <n v="0.1"/>
    <s v="Credit Card"/>
    <s v="Retail"/>
    <s v="West-Eve"/>
    <n v="20858.879999999997"/>
    <n v="0.14252354839556056"/>
    <n v="146353.91999999998"/>
  </r>
  <r>
    <n v="1052"/>
    <x v="64"/>
    <s v="Charlie"/>
    <s v="West"/>
    <x v="215"/>
    <n v="2"/>
    <x v="0"/>
    <n v="3752.68"/>
    <n v="4017.91"/>
    <s v="Returning"/>
    <n v="0.16"/>
    <s v="Bank Transfer"/>
    <s v="Online"/>
    <s v="West-Charlie"/>
    <n v="530.46"/>
    <n v="6.6011931576366825E-2"/>
    <n v="8035.82"/>
  </r>
  <r>
    <n v="1012"/>
    <x v="50"/>
    <s v="Bob"/>
    <s v="North"/>
    <x v="216"/>
    <n v="1"/>
    <x v="1"/>
    <n v="4190.83"/>
    <n v="4528.7699999999904"/>
    <s v="Returning"/>
    <n v="0.22"/>
    <s v="Bank Transfer"/>
    <s v="Online"/>
    <s v="North-Bob"/>
    <n v="337.9399999999905"/>
    <n v="7.462070275151779E-2"/>
    <n v="4528.7699999999904"/>
  </r>
  <r>
    <n v="1039"/>
    <x v="48"/>
    <s v="Eve"/>
    <s v="West"/>
    <x v="217"/>
    <n v="40"/>
    <x v="0"/>
    <n v="3536.46"/>
    <n v="3945.82"/>
    <s v="New"/>
    <n v="0.24"/>
    <s v="Bank Transfer"/>
    <s v="Online"/>
    <s v="West-Eve"/>
    <n v="16374.400000000005"/>
    <n v="0.10374522912854618"/>
    <n v="157832.80000000002"/>
  </r>
  <r>
    <n v="1002"/>
    <x v="62"/>
    <s v="David"/>
    <s v="North"/>
    <x v="218"/>
    <n v="30"/>
    <x v="2"/>
    <n v="4646.55"/>
    <n v="4784.28"/>
    <s v="Returning"/>
    <n v="0.1"/>
    <s v="Credit Card"/>
    <s v="Retail"/>
    <s v="North-David"/>
    <n v="4131.8999999999869"/>
    <n v="2.878803080087277E-2"/>
    <n v="143528.4"/>
  </r>
  <r>
    <n v="1003"/>
    <x v="90"/>
    <s v="Eve"/>
    <s v="East"/>
    <x v="219"/>
    <n v="11"/>
    <x v="1"/>
    <n v="3706.78"/>
    <n v="3862.26"/>
    <s v="New"/>
    <n v="0.22"/>
    <s v="Credit Card"/>
    <s v="Retail"/>
    <s v="East-Eve"/>
    <n v="1710.2800000000002"/>
    <n v="4.0256223040396041E-2"/>
    <n v="42484.86"/>
  </r>
  <r>
    <n v="1056"/>
    <x v="152"/>
    <s v="David"/>
    <s v="East"/>
    <x v="220"/>
    <n v="28"/>
    <x v="2"/>
    <n v="1566.03"/>
    <n v="1576.34"/>
    <s v="Returning"/>
    <n v="0.2"/>
    <s v="Bank Transfer"/>
    <s v="Online"/>
    <s v="East-David"/>
    <n v="288.67999999999847"/>
    <n v="6.540467158100376E-3"/>
    <n v="44137.52"/>
  </r>
  <r>
    <n v="1081"/>
    <x v="153"/>
    <s v="Charlie"/>
    <s v="West"/>
    <x v="221"/>
    <n v="44"/>
    <x v="3"/>
    <n v="1362.15"/>
    <n v="1844.07"/>
    <s v="New"/>
    <n v="0.28999999999999998"/>
    <s v="Credit Card"/>
    <s v="Online"/>
    <s v="West-Charlie"/>
    <n v="21204.479999999992"/>
    <n v="0.26133498186077525"/>
    <n v="81139.08"/>
  </r>
  <r>
    <n v="1059"/>
    <x v="154"/>
    <s v="Eve"/>
    <s v="West"/>
    <x v="222"/>
    <n v="12"/>
    <x v="1"/>
    <n v="3496.15"/>
    <n v="3955.75"/>
    <s v="Returning"/>
    <n v="0.28000000000000003"/>
    <s v="Cash"/>
    <s v="Retail"/>
    <s v="West-Eve"/>
    <n v="5515.1999999999989"/>
    <n v="0.11618529987992161"/>
    <n v="47469"/>
  </r>
  <r>
    <n v="1002"/>
    <x v="155"/>
    <s v="David"/>
    <s v="South"/>
    <x v="223"/>
    <n v="39"/>
    <x v="2"/>
    <n v="1004.71"/>
    <n v="1389.35"/>
    <s v="New"/>
    <n v="0.24"/>
    <s v="Bank Transfer"/>
    <s v="Online"/>
    <s v="South-David"/>
    <n v="15000.959999999995"/>
    <n v="0.27684888616979159"/>
    <n v="54184.649999999994"/>
  </r>
  <r>
    <n v="1002"/>
    <x v="156"/>
    <s v="Charlie"/>
    <s v="West"/>
    <x v="224"/>
    <n v="26"/>
    <x v="1"/>
    <n v="508.94"/>
    <n v="557.69000000000005"/>
    <s v="New"/>
    <n v="0.22"/>
    <s v="Credit Card"/>
    <s v="Retail"/>
    <s v="West-Charlie"/>
    <n v="1267.5000000000014"/>
    <n v="8.7414154817192433E-2"/>
    <n v="14499.940000000002"/>
  </r>
  <r>
    <n v="1092"/>
    <x v="157"/>
    <s v="Bob"/>
    <s v="South"/>
    <x v="225"/>
    <n v="13"/>
    <x v="2"/>
    <n v="2684.5"/>
    <n v="2913.78"/>
    <s v="New"/>
    <n v="0.08"/>
    <s v="Credit Card"/>
    <s v="Retail"/>
    <s v="South-Bob"/>
    <n v="2980.6400000000026"/>
    <n v="7.8688164514822745E-2"/>
    <n v="37879.14"/>
  </r>
  <r>
    <n v="1054"/>
    <x v="87"/>
    <s v="David"/>
    <s v="East"/>
    <x v="226"/>
    <n v="8"/>
    <x v="1"/>
    <n v="4117.13"/>
    <n v="4177.0600000000004"/>
    <s v="Returning"/>
    <n v="0.25"/>
    <s v="Bank Transfer"/>
    <s v="Retail"/>
    <s v="East-David"/>
    <n v="479.44000000000233"/>
    <n v="1.4347411815966321E-2"/>
    <n v="33416.480000000003"/>
  </r>
  <r>
    <n v="1087"/>
    <x v="158"/>
    <s v="Bob"/>
    <s v="East"/>
    <x v="227"/>
    <n v="28"/>
    <x v="2"/>
    <n v="551.83000000000004"/>
    <n v="569.63"/>
    <s v="New"/>
    <n v="0.13"/>
    <s v="Credit Card"/>
    <s v="Retail"/>
    <s v="East-Bob"/>
    <n v="498.39999999999873"/>
    <n v="3.1248354194828142E-2"/>
    <n v="15949.64"/>
  </r>
  <r>
    <n v="1096"/>
    <x v="159"/>
    <s v="Bob"/>
    <s v="North"/>
    <x v="228"/>
    <n v="30"/>
    <x v="3"/>
    <n v="3969.86"/>
    <n v="4281.79"/>
    <s v="Returning"/>
    <n v="0.08"/>
    <s v="Bank Transfer"/>
    <s v="Retail"/>
    <s v="North-Bob"/>
    <n v="9357.8999999999942"/>
    <n v="7.2850373325174703E-2"/>
    <n v="128453.7"/>
  </r>
  <r>
    <n v="1097"/>
    <x v="91"/>
    <s v="Alice"/>
    <s v="East"/>
    <x v="229"/>
    <n v="9"/>
    <x v="1"/>
    <n v="4067.28"/>
    <n v="4548.09"/>
    <s v="Returning"/>
    <n v="0.12"/>
    <s v="Credit Card"/>
    <s v="Retail"/>
    <s v="East-Alice"/>
    <n v="4327.2899999999991"/>
    <n v="0.10571690533828484"/>
    <n v="40932.81"/>
  </r>
  <r>
    <n v="1001"/>
    <x v="160"/>
    <s v="Eve"/>
    <s v="South"/>
    <x v="230"/>
    <n v="39"/>
    <x v="1"/>
    <n v="2437.2600000000002"/>
    <n v="2889.67"/>
    <s v="Returning"/>
    <n v="0.25"/>
    <s v="Cash"/>
    <s v="Online"/>
    <s v="South-Eve"/>
    <n v="17643.989999999994"/>
    <n v="0.15656112981759157"/>
    <n v="112697.13"/>
  </r>
  <r>
    <n v="1019"/>
    <x v="146"/>
    <s v="David"/>
    <s v="West"/>
    <x v="231"/>
    <n v="31"/>
    <x v="1"/>
    <n v="333.69"/>
    <n v="685.1"/>
    <s v="New"/>
    <n v="0.04"/>
    <s v="Bank Transfer"/>
    <s v="Online"/>
    <s v="West-David"/>
    <n v="10893.710000000001"/>
    <n v="0.51293241862501826"/>
    <n v="21238.100000000002"/>
  </r>
  <r>
    <n v="1002"/>
    <x v="6"/>
    <s v="Bob"/>
    <s v="North"/>
    <x v="232"/>
    <n v="21"/>
    <x v="1"/>
    <n v="914.22"/>
    <n v="971.57"/>
    <s v="Returning"/>
    <n v="0.14000000000000001"/>
    <s v="Cash"/>
    <s v="Online"/>
    <s v="North-Bob"/>
    <n v="1204.3500000000004"/>
    <n v="5.9028170898648591E-2"/>
    <n v="20402.97"/>
  </r>
  <r>
    <n v="1053"/>
    <x v="145"/>
    <s v="Alice"/>
    <s v="South"/>
    <x v="233"/>
    <n v="47"/>
    <x v="3"/>
    <n v="3551.76"/>
    <n v="3696.1"/>
    <s v="Returning"/>
    <n v="0.15"/>
    <s v="Bank Transfer"/>
    <s v="Retail"/>
    <s v="South-Alice"/>
    <n v="6783.979999999985"/>
    <n v="3.9051973702010141E-2"/>
    <n v="173716.69999999998"/>
  </r>
  <r>
    <n v="1044"/>
    <x v="161"/>
    <s v="Charlie"/>
    <s v="West"/>
    <x v="234"/>
    <n v="34"/>
    <x v="1"/>
    <n v="3573.3"/>
    <n v="3740.13"/>
    <s v="Returning"/>
    <n v="0.01"/>
    <s v="Credit Card"/>
    <s v="Online"/>
    <s v="West-Charlie"/>
    <n v="5672.2199999999975"/>
    <n v="4.4605401416528287E-2"/>
    <n v="127164.42"/>
  </r>
  <r>
    <n v="1090"/>
    <x v="162"/>
    <s v="David"/>
    <s v="North"/>
    <x v="235"/>
    <n v="31"/>
    <x v="0"/>
    <n v="4496.8599999999997"/>
    <n v="4880.7999999999902"/>
    <s v="New"/>
    <n v="0.06"/>
    <s v="Cash"/>
    <s v="Retail"/>
    <s v="North-David"/>
    <n v="11902.139999999705"/>
    <n v="7.8663333879690059E-2"/>
    <n v="151304.7999999997"/>
  </r>
  <r>
    <n v="1032"/>
    <x v="163"/>
    <s v="Bob"/>
    <s v="East"/>
    <x v="236"/>
    <n v="25"/>
    <x v="3"/>
    <n v="2934.3"/>
    <n v="3337.4"/>
    <s v="Returning"/>
    <n v="0.25"/>
    <s v="Credit Card"/>
    <s v="Retail"/>
    <s v="East-Bob"/>
    <n v="10077.499999999998"/>
    <n v="0.12078264517288906"/>
    <n v="83435"/>
  </r>
  <r>
    <n v="1070"/>
    <x v="58"/>
    <s v="Eve"/>
    <s v="South"/>
    <x v="237"/>
    <n v="12"/>
    <x v="0"/>
    <n v="664.33"/>
    <n v="863.03"/>
    <s v="Returning"/>
    <n v="0.25"/>
    <s v="Bank Transfer"/>
    <s v="Retail"/>
    <s v="South-Eve"/>
    <n v="2384.3999999999992"/>
    <n v="0.23023533365004684"/>
    <n v="10356.36"/>
  </r>
  <r>
    <n v="1032"/>
    <x v="78"/>
    <s v="Alice"/>
    <s v="West"/>
    <x v="238"/>
    <n v="1"/>
    <x v="1"/>
    <n v="651"/>
    <n v="865.76"/>
    <s v="Returning"/>
    <n v="0.09"/>
    <s v="Bank Transfer"/>
    <s v="Retail"/>
    <s v="West-Alice"/>
    <n v="214.76"/>
    <n v="0.2480595084087969"/>
    <n v="865.76"/>
  </r>
  <r>
    <n v="1068"/>
    <x v="164"/>
    <s v="Bob"/>
    <s v="North"/>
    <x v="239"/>
    <n v="22"/>
    <x v="2"/>
    <n v="3619.61"/>
    <n v="3651.42"/>
    <s v="Returning"/>
    <n v="0.26"/>
    <s v="Bank Transfer"/>
    <s v="Online"/>
    <s v="North-Bob"/>
    <n v="699.8199999999988"/>
    <n v="8.7116792918919064E-3"/>
    <n v="80331.240000000005"/>
  </r>
  <r>
    <n v="1055"/>
    <x v="165"/>
    <s v="Eve"/>
    <s v="North"/>
    <x v="240"/>
    <n v="40"/>
    <x v="0"/>
    <n v="959.73"/>
    <n v="1111.4100000000001"/>
    <s v="New"/>
    <n v="0.23"/>
    <s v="Bank Transfer"/>
    <s v="Online"/>
    <s v="North-Eve"/>
    <n v="6067.2000000000025"/>
    <n v="0.13647528814748838"/>
    <n v="44456.4"/>
  </r>
  <r>
    <n v="1075"/>
    <x v="117"/>
    <s v="Bob"/>
    <s v="East"/>
    <x v="241"/>
    <n v="37"/>
    <x v="1"/>
    <n v="1675.51"/>
    <n v="1906.6399999999901"/>
    <s v="New"/>
    <n v="0.13"/>
    <s v="Bank Transfer"/>
    <s v="Online"/>
    <s v="East-Bob"/>
    <n v="8551.8099999996339"/>
    <n v="0.12122372340871446"/>
    <n v="70545.679999999629"/>
  </r>
  <r>
    <n v="1056"/>
    <x v="28"/>
    <s v="David"/>
    <s v="West"/>
    <x v="242"/>
    <n v="47"/>
    <x v="0"/>
    <n v="2461.6999999999998"/>
    <n v="2529.02"/>
    <s v="Returning"/>
    <n v="0.22"/>
    <s v="Cash"/>
    <s v="Retail"/>
    <s v="West-David"/>
    <n v="3164.0400000000077"/>
    <n v="2.6619006571715589E-2"/>
    <n v="118863.94"/>
  </r>
  <r>
    <n v="1017"/>
    <x v="166"/>
    <s v="David"/>
    <s v="East"/>
    <x v="243"/>
    <n v="1"/>
    <x v="1"/>
    <n v="172.59"/>
    <n v="404.69"/>
    <s v="Returning"/>
    <n v="0.28999999999999998"/>
    <s v="Bank Transfer"/>
    <s v="Online"/>
    <s v="East-David"/>
    <n v="232.1"/>
    <n v="0.57352541451481376"/>
    <n v="404.69"/>
  </r>
  <r>
    <n v="1038"/>
    <x v="163"/>
    <s v="David"/>
    <s v="East"/>
    <x v="244"/>
    <n v="1"/>
    <x v="1"/>
    <n v="1281.6500000000001"/>
    <n v="1709.71"/>
    <s v="Returning"/>
    <n v="0.14000000000000001"/>
    <s v="Credit Card"/>
    <s v="Online"/>
    <s v="East-David"/>
    <n v="428.05999999999995"/>
    <n v="0.25036994578027849"/>
    <n v="1709.71"/>
  </r>
  <r>
    <n v="1024"/>
    <x v="167"/>
    <s v="Alice"/>
    <s v="West"/>
    <x v="245"/>
    <n v="42"/>
    <x v="1"/>
    <n v="2069.0500000000002"/>
    <n v="2363.9"/>
    <s v="Returning"/>
    <n v="7.0000000000000007E-2"/>
    <s v="Cash"/>
    <s v="Online"/>
    <s v="West-Alice"/>
    <n v="12383.699999999997"/>
    <n v="0.12473031854139342"/>
    <n v="99283.8"/>
  </r>
  <r>
    <n v="1069"/>
    <x v="168"/>
    <s v="David"/>
    <s v="West"/>
    <x v="246"/>
    <n v="42"/>
    <x v="2"/>
    <n v="1434.2"/>
    <n v="1482.88"/>
    <s v="New"/>
    <n v="0.28000000000000003"/>
    <s v="Credit Card"/>
    <s v="Retail"/>
    <s v="West-David"/>
    <n v="2044.5600000000027"/>
    <n v="3.282801035822188E-2"/>
    <n v="62280.960000000006"/>
  </r>
  <r>
    <n v="1098"/>
    <x v="96"/>
    <s v="Eve"/>
    <s v="West"/>
    <x v="247"/>
    <n v="21"/>
    <x v="0"/>
    <n v="725.03"/>
    <n v="828.94999999999902"/>
    <s v="New"/>
    <n v="0.18"/>
    <s v="Bank Transfer"/>
    <s v="Online"/>
    <s v="West-Eve"/>
    <n v="2182.3199999999802"/>
    <n v="0.12536341154472427"/>
    <n v="17407.949999999979"/>
  </r>
  <r>
    <n v="1070"/>
    <x v="113"/>
    <s v="Bob"/>
    <s v="South"/>
    <x v="248"/>
    <n v="15"/>
    <x v="3"/>
    <n v="3653.66"/>
    <n v="3896.19"/>
    <s v="New"/>
    <n v="0.03"/>
    <s v="Credit Card"/>
    <s v="Retail"/>
    <s v="South-Bob"/>
    <n v="3637.950000000003"/>
    <n v="6.2247990986065926E-2"/>
    <n v="58442.85"/>
  </r>
  <r>
    <n v="1086"/>
    <x v="169"/>
    <s v="Charlie"/>
    <s v="West"/>
    <x v="249"/>
    <n v="17"/>
    <x v="3"/>
    <n v="4075.08"/>
    <n v="4262.21"/>
    <s v="New"/>
    <n v="0.17"/>
    <s v="Cash"/>
    <s v="Online"/>
    <s v="West-Charlie"/>
    <n v="3181.2100000000019"/>
    <n v="4.3904453323510596E-2"/>
    <n v="72457.570000000007"/>
  </r>
  <r>
    <n v="1011"/>
    <x v="170"/>
    <s v="Eve"/>
    <s v="North"/>
    <x v="250"/>
    <n v="22"/>
    <x v="3"/>
    <n v="1324.52"/>
    <n v="1510.3"/>
    <s v="Returning"/>
    <n v="0.15"/>
    <s v="Cash"/>
    <s v="Retail"/>
    <s v="North-Eve"/>
    <n v="4087.1599999999994"/>
    <n v="0.12300867377342249"/>
    <n v="33226.6"/>
  </r>
  <r>
    <n v="1016"/>
    <x v="59"/>
    <s v="Eve"/>
    <s v="East"/>
    <x v="251"/>
    <n v="38"/>
    <x v="3"/>
    <n v="3883.38"/>
    <n v="4152.72"/>
    <s v="Returning"/>
    <n v="0.26"/>
    <s v="Cash"/>
    <s v="Online"/>
    <s v="East-Eve"/>
    <n v="10234.920000000006"/>
    <n v="6.4858695023984309E-2"/>
    <n v="157803.36000000002"/>
  </r>
  <r>
    <n v="1097"/>
    <x v="37"/>
    <s v="David"/>
    <s v="South"/>
    <x v="252"/>
    <n v="35"/>
    <x v="1"/>
    <n v="1958.49"/>
    <n v="2254.84"/>
    <s v="New"/>
    <n v="0.16"/>
    <s v="Credit Card"/>
    <s v="Online"/>
    <s v="South-David"/>
    <n v="10372.250000000005"/>
    <n v="0.13142839403239259"/>
    <n v="78919.400000000009"/>
  </r>
  <r>
    <n v="1073"/>
    <x v="129"/>
    <s v="Alice"/>
    <s v="West"/>
    <x v="253"/>
    <n v="45"/>
    <x v="0"/>
    <n v="2558.09"/>
    <n v="2958.55"/>
    <s v="New"/>
    <n v="0.08"/>
    <s v="Cash"/>
    <s v="Online"/>
    <s v="West-Alice"/>
    <n v="18020.7"/>
    <n v="0.13535684710415577"/>
    <n v="133134.75"/>
  </r>
  <r>
    <n v="1059"/>
    <x v="150"/>
    <s v="Bob"/>
    <s v="South"/>
    <x v="254"/>
    <n v="16"/>
    <x v="0"/>
    <n v="4287.21"/>
    <n v="4464.28"/>
    <s v="Returning"/>
    <n v="0.2"/>
    <s v="Credit Card"/>
    <s v="Retail"/>
    <s v="South-Bob"/>
    <n v="2833.1199999999953"/>
    <n v="3.9663730769575321E-2"/>
    <n v="71428.479999999996"/>
  </r>
  <r>
    <n v="1070"/>
    <x v="171"/>
    <s v="Alice"/>
    <s v="West"/>
    <x v="255"/>
    <n v="8"/>
    <x v="2"/>
    <n v="3762.27"/>
    <n v="4166.95"/>
    <s v="Returning"/>
    <n v="0.16"/>
    <s v="Bank Transfer"/>
    <s v="Online"/>
    <s v="West-Alice"/>
    <n v="3237.4399999999987"/>
    <n v="9.7116596071467109E-2"/>
    <n v="33335.599999999999"/>
  </r>
  <r>
    <n v="1080"/>
    <x v="172"/>
    <s v="Bob"/>
    <s v="South"/>
    <x v="256"/>
    <n v="47"/>
    <x v="0"/>
    <n v="4035.33"/>
    <n v="4211.25"/>
    <s v="Returning"/>
    <n v="7.0000000000000007E-2"/>
    <s v="Bank Transfer"/>
    <s v="Online"/>
    <s v="South-Bob"/>
    <n v="8268.2400000000034"/>
    <n v="4.1773820124666093E-2"/>
    <n v="197928.75"/>
  </r>
  <r>
    <n v="1093"/>
    <x v="173"/>
    <s v="Bob"/>
    <s v="East"/>
    <x v="257"/>
    <n v="17"/>
    <x v="0"/>
    <n v="727.38"/>
    <n v="764.54"/>
    <s v="Returning"/>
    <n v="0.17"/>
    <s v="Credit Card"/>
    <s v="Retail"/>
    <s v="East-Bob"/>
    <n v="631.71999999999946"/>
    <n v="4.8604389567583083E-2"/>
    <n v="12997.18"/>
  </r>
  <r>
    <n v="1003"/>
    <x v="174"/>
    <s v="Alice"/>
    <s v="East"/>
    <x v="258"/>
    <n v="17"/>
    <x v="0"/>
    <n v="395.11"/>
    <n v="676.66"/>
    <s v="Returning"/>
    <n v="0.25"/>
    <s v="Cash"/>
    <s v="Retail"/>
    <s v="East-Alice"/>
    <n v="4786.3499999999995"/>
    <n v="0.41608784322998255"/>
    <n v="11503.22"/>
  </r>
  <r>
    <n v="1020"/>
    <x v="175"/>
    <s v="Eve"/>
    <s v="North"/>
    <x v="259"/>
    <n v="26"/>
    <x v="2"/>
    <n v="4472.3500000000004"/>
    <n v="4770.42"/>
    <s v="New"/>
    <n v="0.01"/>
    <s v="Credit Card"/>
    <s v="Retail"/>
    <s v="North-Eve"/>
    <n v="7749.8199999999924"/>
    <n v="6.2482967956699768E-2"/>
    <n v="124030.92"/>
  </r>
  <r>
    <n v="1059"/>
    <x v="109"/>
    <s v="Bob"/>
    <s v="North"/>
    <x v="260"/>
    <n v="13"/>
    <x v="3"/>
    <n v="1969.78"/>
    <n v="2437.6999999999998"/>
    <s v="New"/>
    <n v="0.19"/>
    <s v="Credit Card"/>
    <s v="Retail"/>
    <s v="North-Bob"/>
    <n v="6082.9599999999982"/>
    <n v="0.19195142962628703"/>
    <n v="31690.1"/>
  </r>
  <r>
    <n v="1036"/>
    <x v="162"/>
    <s v="Alice"/>
    <s v="West"/>
    <x v="261"/>
    <n v="17"/>
    <x v="0"/>
    <n v="1475"/>
    <n v="1840.77"/>
    <s v="Returning"/>
    <n v="0.1"/>
    <s v="Credit Card"/>
    <s v="Online"/>
    <s v="West-Alice"/>
    <n v="6218.09"/>
    <n v="0.19870488980155043"/>
    <n v="31293.09"/>
  </r>
  <r>
    <n v="1019"/>
    <x v="26"/>
    <s v="Bob"/>
    <s v="East"/>
    <x v="262"/>
    <n v="38"/>
    <x v="2"/>
    <n v="3637.25"/>
    <n v="4096.96"/>
    <s v="Returning"/>
    <n v="0.09"/>
    <s v="Bank Transfer"/>
    <s v="Online"/>
    <s v="East-Bob"/>
    <n v="17468.980000000003"/>
    <n v="0.11220758806529721"/>
    <n v="155684.48000000001"/>
  </r>
  <r>
    <n v="1090"/>
    <x v="170"/>
    <s v="Charlie"/>
    <s v="South"/>
    <x v="263"/>
    <n v="17"/>
    <x v="2"/>
    <n v="4190.26"/>
    <n v="4645.3500000000004"/>
    <s v="New"/>
    <n v="0.12"/>
    <s v="Credit Card"/>
    <s v="Retail"/>
    <s v="South-Charlie"/>
    <n v="7736.5300000000025"/>
    <n v="9.7966783988289383E-2"/>
    <n v="78970.950000000012"/>
  </r>
  <r>
    <n v="1067"/>
    <x v="8"/>
    <s v="Eve"/>
    <s v="South"/>
    <x v="264"/>
    <n v="48"/>
    <x v="1"/>
    <n v="4319.32"/>
    <n v="4625.5599999999904"/>
    <s v="Returning"/>
    <n v="0.1"/>
    <s v="Bank Transfer"/>
    <s v="Online"/>
    <s v="South-Eve"/>
    <n v="14699.519999999553"/>
    <n v="6.6206037755426661E-2"/>
    <n v="222026.87999999954"/>
  </r>
  <r>
    <n v="1019"/>
    <x v="18"/>
    <s v="David"/>
    <s v="South"/>
    <x v="265"/>
    <n v="14"/>
    <x v="2"/>
    <n v="1614.19"/>
    <n v="1882.79"/>
    <s v="New"/>
    <n v="0.25"/>
    <s v="Credit Card"/>
    <s v="Retail"/>
    <s v="South-David"/>
    <n v="3760.3999999999987"/>
    <n v="0.14266062598590387"/>
    <n v="26359.059999999998"/>
  </r>
  <r>
    <n v="1020"/>
    <x v="176"/>
    <s v="Bob"/>
    <s v="North"/>
    <x v="266"/>
    <n v="45"/>
    <x v="3"/>
    <n v="4268.45"/>
    <n v="4551.5999999999904"/>
    <s v="New"/>
    <n v="0.08"/>
    <s v="Bank Transfer"/>
    <s v="Online"/>
    <s v="North-Bob"/>
    <n v="12741.749999999574"/>
    <n v="6.220889357588346E-2"/>
    <n v="204821.99999999956"/>
  </r>
  <r>
    <n v="1096"/>
    <x v="67"/>
    <s v="Charlie"/>
    <s v="South"/>
    <x v="267"/>
    <n v="6"/>
    <x v="0"/>
    <n v="252.62"/>
    <n v="742"/>
    <s v="New"/>
    <n v="0.22"/>
    <s v="Credit Card"/>
    <s v="Retail"/>
    <s v="South-Charlie"/>
    <n v="2936.2799999999997"/>
    <n v="0.65954177897574118"/>
    <n v="4452"/>
  </r>
  <r>
    <n v="1071"/>
    <x v="177"/>
    <s v="David"/>
    <s v="North"/>
    <x v="268"/>
    <n v="35"/>
    <x v="2"/>
    <n v="295.82"/>
    <n v="684.67"/>
    <s v="New"/>
    <n v="0.03"/>
    <s v="Credit Card"/>
    <s v="Online"/>
    <s v="North-David"/>
    <n v="13609.749999999998"/>
    <n v="0.56793783866680303"/>
    <n v="23963.449999999997"/>
  </r>
  <r>
    <n v="1052"/>
    <x v="178"/>
    <s v="David"/>
    <s v="North"/>
    <x v="269"/>
    <n v="46"/>
    <x v="3"/>
    <n v="3136.42"/>
    <n v="3198.49"/>
    <s v="Returning"/>
    <n v="0.28999999999999998"/>
    <s v="Cash"/>
    <s v="Retail"/>
    <s v="North-David"/>
    <n v="2855.2199999999866"/>
    <n v="1.9406032221454411E-2"/>
    <n v="147130.53999999998"/>
  </r>
  <r>
    <n v="1033"/>
    <x v="113"/>
    <s v="Bob"/>
    <s v="West"/>
    <x v="270"/>
    <n v="14"/>
    <x v="2"/>
    <n v="362.38"/>
    <n v="753.81"/>
    <s v="Returning"/>
    <n v="0.19"/>
    <s v="Cash"/>
    <s v="Retail"/>
    <s v="West-Bob"/>
    <n v="5480.0199999999995"/>
    <n v="0.51926878125787657"/>
    <n v="10553.34"/>
  </r>
  <r>
    <n v="1040"/>
    <x v="16"/>
    <s v="Alice"/>
    <s v="South"/>
    <x v="271"/>
    <n v="47"/>
    <x v="2"/>
    <n v="1656.82"/>
    <n v="1750.3799999999901"/>
    <s v="New"/>
    <n v="0.21"/>
    <s v="Credit Card"/>
    <s v="Online"/>
    <s v="South-Alice"/>
    <n v="4397.3199999995377"/>
    <n v="5.3451250585581811E-2"/>
    <n v="82267.859999999535"/>
  </r>
  <r>
    <n v="1039"/>
    <x v="168"/>
    <s v="Bob"/>
    <s v="South"/>
    <x v="272"/>
    <n v="8"/>
    <x v="2"/>
    <n v="3380.14"/>
    <n v="3609.3399999999901"/>
    <s v="Returning"/>
    <n v="0.09"/>
    <s v="Credit Card"/>
    <s v="Online"/>
    <s v="South-Bob"/>
    <n v="1833.5999999999221"/>
    <n v="6.3501914477436569E-2"/>
    <n v="28874.719999999921"/>
  </r>
  <r>
    <n v="1082"/>
    <x v="179"/>
    <s v="Charlie"/>
    <s v="East"/>
    <x v="273"/>
    <n v="15"/>
    <x v="2"/>
    <n v="1719.47"/>
    <n v="1832.6"/>
    <s v="Returning"/>
    <n v="0.12"/>
    <s v="Credit Card"/>
    <s v="Online"/>
    <s v="East-Charlie"/>
    <n v="1696.9499999999982"/>
    <n v="6.1731965513478051E-2"/>
    <n v="27489"/>
  </r>
  <r>
    <n v="1001"/>
    <x v="180"/>
    <s v="David"/>
    <s v="West"/>
    <x v="274"/>
    <n v="27"/>
    <x v="2"/>
    <n v="939.02"/>
    <n v="1286.92"/>
    <s v="Returning"/>
    <n v="7.0000000000000007E-2"/>
    <s v="Credit Card"/>
    <s v="Retail"/>
    <s v="West-David"/>
    <n v="9393.3000000000029"/>
    <n v="0.27033537438224603"/>
    <n v="34746.840000000004"/>
  </r>
  <r>
    <n v="1011"/>
    <x v="181"/>
    <s v="Bob"/>
    <s v="East"/>
    <x v="275"/>
    <n v="13"/>
    <x v="3"/>
    <n v="1442.69"/>
    <n v="1882.57"/>
    <s v="Returning"/>
    <n v="0.28000000000000003"/>
    <s v="Cash"/>
    <s v="Online"/>
    <s v="East-Bob"/>
    <n v="5718.4399999999987"/>
    <n v="0.23365930616125824"/>
    <n v="24473.41"/>
  </r>
  <r>
    <n v="1092"/>
    <x v="76"/>
    <s v="Alice"/>
    <s v="West"/>
    <x v="276"/>
    <n v="49"/>
    <x v="0"/>
    <n v="2315"/>
    <n v="2467.2800000000002"/>
    <s v="New"/>
    <n v="0.15"/>
    <s v="Bank Transfer"/>
    <s v="Retail"/>
    <s v="West-Alice"/>
    <n v="7461.7200000000103"/>
    <n v="6.1719788593106659E-2"/>
    <n v="120896.72000000002"/>
  </r>
  <r>
    <n v="1057"/>
    <x v="92"/>
    <s v="Bob"/>
    <s v="South"/>
    <x v="277"/>
    <n v="31"/>
    <x v="0"/>
    <n v="2403.16"/>
    <n v="2453.35"/>
    <s v="Returning"/>
    <n v="0.19"/>
    <s v="Credit Card"/>
    <s v="Online"/>
    <s v="South-Bob"/>
    <n v="1555.8900000000017"/>
    <n v="2.0457741455560789E-2"/>
    <n v="76053.849999999991"/>
  </r>
  <r>
    <n v="1089"/>
    <x v="177"/>
    <s v="Eve"/>
    <s v="North"/>
    <x v="278"/>
    <n v="35"/>
    <x v="0"/>
    <n v="3925.85"/>
    <n v="4082.1099999999901"/>
    <s v="New"/>
    <n v="0.22"/>
    <s v="Cash"/>
    <s v="Online"/>
    <s v="North-Eve"/>
    <n v="5469.0999999996575"/>
    <n v="3.8279223244839213E-2"/>
    <n v="142873.84999999966"/>
  </r>
  <r>
    <n v="1050"/>
    <x v="141"/>
    <s v="Alice"/>
    <s v="North"/>
    <x v="279"/>
    <n v="6"/>
    <x v="0"/>
    <n v="3763.26"/>
    <n v="4102.72"/>
    <s v="New"/>
    <n v="0.11"/>
    <s v="Credit Card"/>
    <s v="Retail"/>
    <s v="North-Alice"/>
    <n v="2036.7600000000002"/>
    <n v="8.2740230871226908E-2"/>
    <n v="24616.32"/>
  </r>
  <r>
    <n v="1023"/>
    <x v="40"/>
    <s v="Charlie"/>
    <s v="North"/>
    <x v="280"/>
    <n v="5"/>
    <x v="3"/>
    <n v="2311.25"/>
    <n v="2482.34"/>
    <s v="Returning"/>
    <n v="0.22"/>
    <s v="Credit Card"/>
    <s v="Retail"/>
    <s v="North-Charlie"/>
    <n v="855.45000000000073"/>
    <n v="6.8922871161887625E-2"/>
    <n v="12411.7"/>
  </r>
  <r>
    <n v="1031"/>
    <x v="182"/>
    <s v="David"/>
    <s v="North"/>
    <x v="281"/>
    <n v="22"/>
    <x v="1"/>
    <n v="4236.05"/>
    <n v="4382.32"/>
    <s v="New"/>
    <n v="0.2"/>
    <s v="Bank Transfer"/>
    <s v="Online"/>
    <s v="North-David"/>
    <n v="3217.9399999999896"/>
    <n v="3.3377297869621465E-2"/>
    <n v="96411.04"/>
  </r>
  <r>
    <n v="1094"/>
    <x v="113"/>
    <s v="Bob"/>
    <s v="North"/>
    <x v="282"/>
    <n v="49"/>
    <x v="1"/>
    <n v="615.47"/>
    <n v="715.84"/>
    <s v="Returning"/>
    <n v="0.21"/>
    <s v="Credit Card"/>
    <s v="Retail"/>
    <s v="North-Bob"/>
    <n v="4918.13"/>
    <n v="0.14021289673670093"/>
    <n v="35076.160000000003"/>
  </r>
  <r>
    <n v="1042"/>
    <x v="183"/>
    <s v="Alice"/>
    <s v="East"/>
    <x v="283"/>
    <n v="23"/>
    <x v="3"/>
    <n v="1314"/>
    <n v="1567.78"/>
    <s v="Returning"/>
    <n v="0.15"/>
    <s v="Credit Card"/>
    <s v="Retail"/>
    <s v="East-Alice"/>
    <n v="5836.94"/>
    <n v="0.16187220145683703"/>
    <n v="36058.94"/>
  </r>
  <r>
    <n v="1099"/>
    <x v="143"/>
    <s v="Eve"/>
    <s v="West"/>
    <x v="284"/>
    <n v="25"/>
    <x v="3"/>
    <n v="4148.4799999999996"/>
    <n v="4293.6899999999996"/>
    <s v="New"/>
    <n v="0.11"/>
    <s v="Bank Transfer"/>
    <s v="Online"/>
    <s v="West-Eve"/>
    <n v="3630.2500000000009"/>
    <n v="3.3819395438422439E-2"/>
    <n v="107342.24999999999"/>
  </r>
  <r>
    <n v="1007"/>
    <x v="180"/>
    <s v="Alice"/>
    <s v="South"/>
    <x v="285"/>
    <n v="34"/>
    <x v="2"/>
    <n v="1921.07"/>
    <n v="2289.27"/>
    <s v="Returning"/>
    <n v="7.0000000000000007E-2"/>
    <s v="Bank Transfer"/>
    <s v="Retail"/>
    <s v="South-Alice"/>
    <n v="12518.800000000001"/>
    <n v="0.16083729747910908"/>
    <n v="77835.179999999993"/>
  </r>
  <r>
    <n v="1016"/>
    <x v="184"/>
    <s v="Eve"/>
    <s v="East"/>
    <x v="286"/>
    <n v="26"/>
    <x v="2"/>
    <n v="4906.8500000000004"/>
    <n v="4954.3900000000003"/>
    <s v="New"/>
    <n v="0.25"/>
    <s v="Bank Transfer"/>
    <s v="Online"/>
    <s v="East-Eve"/>
    <n v="1236.0399999999991"/>
    <n v="9.5955304285694019E-3"/>
    <n v="128814.14000000001"/>
  </r>
  <r>
    <n v="1090"/>
    <x v="160"/>
    <s v="Charlie"/>
    <s v="West"/>
    <x v="287"/>
    <n v="47"/>
    <x v="2"/>
    <n v="2357.9499999999998"/>
    <n v="2693.33"/>
    <s v="New"/>
    <n v="0.18"/>
    <s v="Bank Transfer"/>
    <s v="Online"/>
    <s v="West-Charlie"/>
    <n v="15762.860000000004"/>
    <n v="0.12452243133964279"/>
    <n v="126586.51"/>
  </r>
  <r>
    <n v="1060"/>
    <x v="185"/>
    <s v="David"/>
    <s v="North"/>
    <x v="288"/>
    <n v="5"/>
    <x v="0"/>
    <n v="3970.08"/>
    <n v="4096.4799999999996"/>
    <s v="Returning"/>
    <n v="0.13"/>
    <s v="Cash"/>
    <s v="Retail"/>
    <s v="North-David"/>
    <n v="631.99999999999818"/>
    <n v="3.0855759090731471E-2"/>
    <n v="20482.399999999998"/>
  </r>
  <r>
    <n v="1002"/>
    <x v="149"/>
    <s v="Charlie"/>
    <s v="West"/>
    <x v="289"/>
    <n v="26"/>
    <x v="2"/>
    <n v="2041.42"/>
    <n v="2291.17"/>
    <s v="Returning"/>
    <n v="0.28000000000000003"/>
    <s v="Cash"/>
    <s v="Online"/>
    <s v="West-Charlie"/>
    <n v="6493.5"/>
    <n v="0.1090054426341127"/>
    <n v="59570.42"/>
  </r>
  <r>
    <n v="1001"/>
    <x v="186"/>
    <s v="Bob"/>
    <s v="West"/>
    <x v="290"/>
    <n v="20"/>
    <x v="1"/>
    <n v="2153.52"/>
    <n v="2303.6999999999998"/>
    <s v="Returning"/>
    <n v="0.01"/>
    <s v="Cash"/>
    <s v="Retail"/>
    <s v="West-Bob"/>
    <n v="3003.5999999999967"/>
    <n v="6.5190780049485544E-2"/>
    <n v="46074"/>
  </r>
  <r>
    <n v="1048"/>
    <x v="187"/>
    <s v="Alice"/>
    <s v="North"/>
    <x v="291"/>
    <n v="6"/>
    <x v="0"/>
    <n v="1945.27"/>
    <n v="2309.4299999999998"/>
    <s v="New"/>
    <n v="0.26"/>
    <s v="Credit Card"/>
    <s v="Online"/>
    <s v="North-Alice"/>
    <n v="2184.9599999999991"/>
    <n v="0.15768393066687447"/>
    <n v="13856.579999999998"/>
  </r>
  <r>
    <n v="1012"/>
    <x v="24"/>
    <s v="Eve"/>
    <s v="North"/>
    <x v="292"/>
    <n v="6"/>
    <x v="2"/>
    <n v="3609.42"/>
    <n v="4082.62"/>
    <s v="Returning"/>
    <n v="0.3"/>
    <s v="Bank Transfer"/>
    <s v="Retail"/>
    <s v="North-Eve"/>
    <n v="2839.1999999999989"/>
    <n v="0.11590596234770804"/>
    <n v="24495.72"/>
  </r>
  <r>
    <n v="1069"/>
    <x v="188"/>
    <s v="Eve"/>
    <s v="North"/>
    <x v="293"/>
    <n v="18"/>
    <x v="0"/>
    <n v="2760.21"/>
    <n v="3219.58"/>
    <s v="New"/>
    <n v="0.27"/>
    <s v="Bank Transfer"/>
    <s v="Retail"/>
    <s v="North-Eve"/>
    <n v="8268.659999999998"/>
    <n v="0.14268010113120341"/>
    <n v="57952.44"/>
  </r>
  <r>
    <n v="1037"/>
    <x v="189"/>
    <s v="Alice"/>
    <s v="South"/>
    <x v="294"/>
    <n v="4"/>
    <x v="1"/>
    <n v="4721.7"/>
    <n v="5017.58"/>
    <s v="New"/>
    <n v="0.24"/>
    <s v="Cash"/>
    <s v="Retail"/>
    <s v="South-Alice"/>
    <n v="1183.5200000000004"/>
    <n v="5.8968666169747191E-2"/>
    <n v="20070.32"/>
  </r>
  <r>
    <n v="1032"/>
    <x v="178"/>
    <s v="Alice"/>
    <s v="North"/>
    <x v="295"/>
    <n v="17"/>
    <x v="2"/>
    <n v="1291.9100000000001"/>
    <n v="1528.59"/>
    <s v="Returning"/>
    <n v="0.11"/>
    <s v="Credit Card"/>
    <s v="Retail"/>
    <s v="North-Alice"/>
    <n v="4023.5599999999972"/>
    <n v="0.15483550199857374"/>
    <n v="25986.03"/>
  </r>
  <r>
    <n v="1009"/>
    <x v="82"/>
    <s v="Bob"/>
    <s v="South"/>
    <x v="296"/>
    <n v="14"/>
    <x v="1"/>
    <n v="547.79"/>
    <n v="958.76"/>
    <s v="Returning"/>
    <n v="7.0000000000000007E-2"/>
    <s v="Credit Card"/>
    <s v="Retail"/>
    <s v="South-Bob"/>
    <n v="5753.58"/>
    <n v="0.42864741958362884"/>
    <n v="13422.64"/>
  </r>
  <r>
    <n v="1099"/>
    <x v="95"/>
    <s v="Charlie"/>
    <s v="North"/>
    <x v="297"/>
    <n v="14"/>
    <x v="1"/>
    <n v="1996.64"/>
    <n v="2341.4699999999998"/>
    <s v="Returning"/>
    <n v="0.22"/>
    <s v="Credit Card"/>
    <s v="Online"/>
    <s v="North-Charlie"/>
    <n v="4827.6199999999953"/>
    <n v="0.14727073163440049"/>
    <n v="32780.579999999994"/>
  </r>
  <r>
    <n v="1019"/>
    <x v="190"/>
    <s v="Eve"/>
    <s v="South"/>
    <x v="298"/>
    <n v="13"/>
    <x v="1"/>
    <n v="3102.73"/>
    <n v="3202.68"/>
    <s v="New"/>
    <n v="0.09"/>
    <s v="Cash"/>
    <s v="Online"/>
    <s v="South-Eve"/>
    <n v="1299.3499999999976"/>
    <n v="3.1208238100590702E-2"/>
    <n v="41634.839999999997"/>
  </r>
  <r>
    <n v="1048"/>
    <x v="191"/>
    <s v="Bob"/>
    <s v="West"/>
    <x v="299"/>
    <n v="7"/>
    <x v="2"/>
    <n v="4310.95"/>
    <n v="4723.2"/>
    <s v="Returning"/>
    <n v="0.05"/>
    <s v="Credit Card"/>
    <s v="Retail"/>
    <s v="West-Bob"/>
    <n v="2885.75"/>
    <n v="8.7281927506775062E-2"/>
    <n v="33062.400000000001"/>
  </r>
  <r>
    <n v="1080"/>
    <x v="192"/>
    <s v="Charlie"/>
    <s v="East"/>
    <x v="300"/>
    <n v="44"/>
    <x v="3"/>
    <n v="1763.67"/>
    <n v="1983.82"/>
    <s v="New"/>
    <n v="0.24"/>
    <s v="Credit Card"/>
    <s v="Online"/>
    <s v="East-Charlie"/>
    <n v="9686.5999999999949"/>
    <n v="0.110972769706929"/>
    <n v="87288.08"/>
  </r>
  <r>
    <n v="1003"/>
    <x v="160"/>
    <s v="Bob"/>
    <s v="West"/>
    <x v="301"/>
    <n v="15"/>
    <x v="2"/>
    <n v="3286.24"/>
    <n v="3388.8399999999901"/>
    <s v="Returning"/>
    <n v="0.09"/>
    <s v="Credit Card"/>
    <s v="Retail"/>
    <s v="West-Bob"/>
    <n v="1538.9999999998554"/>
    <n v="3.0275846602374458E-2"/>
    <n v="50832.599999999853"/>
  </r>
  <r>
    <n v="1020"/>
    <x v="101"/>
    <s v="Eve"/>
    <s v="West"/>
    <x v="302"/>
    <n v="19"/>
    <x v="1"/>
    <n v="1783.48"/>
    <n v="1931.56"/>
    <s v="Returning"/>
    <n v="0.27"/>
    <s v="Bank Transfer"/>
    <s v="Retail"/>
    <s v="West-Eve"/>
    <n v="2813.5199999999986"/>
    <n v="7.6663422311499474E-2"/>
    <n v="36699.64"/>
  </r>
  <r>
    <n v="1024"/>
    <x v="193"/>
    <s v="Alice"/>
    <s v="North"/>
    <x v="303"/>
    <n v="43"/>
    <x v="2"/>
    <n v="3105.24"/>
    <n v="3246.33"/>
    <s v="New"/>
    <n v="0.25"/>
    <s v="Cash"/>
    <s v="Online"/>
    <s v="North-Alice"/>
    <n v="6066.8700000000063"/>
    <n v="4.3461385626230281E-2"/>
    <n v="139592.19"/>
  </r>
  <r>
    <n v="1054"/>
    <x v="43"/>
    <s v="Alice"/>
    <s v="South"/>
    <x v="304"/>
    <n v="47"/>
    <x v="1"/>
    <n v="4429.8"/>
    <n v="4694.21"/>
    <s v="New"/>
    <n v="0.25"/>
    <s v="Bank Transfer"/>
    <s v="Online"/>
    <s v="South-Alice"/>
    <n v="12427.269999999993"/>
    <n v="5.6326836677523986E-2"/>
    <n v="220627.87"/>
  </r>
  <r>
    <n v="1033"/>
    <x v="55"/>
    <s v="Charlie"/>
    <s v="East"/>
    <x v="305"/>
    <n v="44"/>
    <x v="3"/>
    <n v="1195.22"/>
    <n v="1320.06"/>
    <s v="Returning"/>
    <n v="0.23"/>
    <s v="Bank Transfer"/>
    <s v="Retail"/>
    <s v="East-Charlie"/>
    <n v="5492.9599999999964"/>
    <n v="9.4571458873081465E-2"/>
    <n v="58082.64"/>
  </r>
  <r>
    <n v="1024"/>
    <x v="194"/>
    <s v="David"/>
    <s v="North"/>
    <x v="306"/>
    <n v="35"/>
    <x v="0"/>
    <n v="2051"/>
    <n v="2121.5500000000002"/>
    <s v="Returning"/>
    <n v="0.26"/>
    <s v="Cash"/>
    <s v="Retail"/>
    <s v="North-David"/>
    <n v="2469.2500000000064"/>
    <n v="3.3253988828922339E-2"/>
    <n v="74254.25"/>
  </r>
  <r>
    <n v="1075"/>
    <x v="195"/>
    <s v="Charlie"/>
    <s v="North"/>
    <x v="307"/>
    <n v="17"/>
    <x v="3"/>
    <n v="4966.66"/>
    <n v="5037.2699999999904"/>
    <s v="Returning"/>
    <n v="0.24"/>
    <s v="Bank Transfer"/>
    <s v="Retail"/>
    <s v="North-Charlie"/>
    <n v="1200.3699999998398"/>
    <n v="1.4017513454706759E-2"/>
    <n v="85633.589999999836"/>
  </r>
  <r>
    <n v="1072"/>
    <x v="196"/>
    <s v="David"/>
    <s v="North"/>
    <x v="308"/>
    <n v="35"/>
    <x v="3"/>
    <n v="4349.3599999999997"/>
    <n v="4645.17"/>
    <s v="Returning"/>
    <n v="0.18"/>
    <s v="Credit Card"/>
    <s v="Retail"/>
    <s v="North-David"/>
    <n v="10353.350000000013"/>
    <n v="6.3681200042194436E-2"/>
    <n v="162580.95000000001"/>
  </r>
  <r>
    <n v="1036"/>
    <x v="78"/>
    <s v="Bob"/>
    <s v="West"/>
    <x v="309"/>
    <n v="19"/>
    <x v="0"/>
    <n v="2844.97"/>
    <n v="3215"/>
    <s v="Returning"/>
    <n v="0.09"/>
    <s v="Credit Card"/>
    <s v="Retail"/>
    <s v="West-Bob"/>
    <n v="7030.5700000000033"/>
    <n v="0.11509486780715401"/>
    <n v="61085"/>
  </r>
  <r>
    <n v="1038"/>
    <x v="102"/>
    <s v="Bob"/>
    <s v="South"/>
    <x v="310"/>
    <n v="20"/>
    <x v="2"/>
    <n v="2607.31"/>
    <n v="2774.86"/>
    <s v="New"/>
    <n v="0.27"/>
    <s v="Credit Card"/>
    <s v="Retail"/>
    <s v="South-Bob"/>
    <n v="3351.0000000000036"/>
    <n v="6.0381424648450796E-2"/>
    <n v="55497.200000000004"/>
  </r>
  <r>
    <n v="1084"/>
    <x v="2"/>
    <s v="Eve"/>
    <s v="South"/>
    <x v="311"/>
    <n v="36"/>
    <x v="0"/>
    <n v="1458.77"/>
    <n v="1485.75"/>
    <s v="New"/>
    <n v="0.25"/>
    <s v="Credit Card"/>
    <s v="Online"/>
    <s v="South-Eve"/>
    <n v="971.28000000000065"/>
    <n v="1.8159178865892658E-2"/>
    <n v="53487"/>
  </r>
  <r>
    <n v="1099"/>
    <x v="164"/>
    <s v="David"/>
    <s v="East"/>
    <x v="312"/>
    <n v="35"/>
    <x v="2"/>
    <n v="2610.19"/>
    <n v="2682.53"/>
    <s v="New"/>
    <n v="0.14000000000000001"/>
    <s v="Cash"/>
    <s v="Retail"/>
    <s v="East-David"/>
    <n v="2531.9000000000051"/>
    <n v="2.6967079585316901E-2"/>
    <n v="93888.55"/>
  </r>
  <r>
    <n v="1089"/>
    <x v="197"/>
    <s v="Eve"/>
    <s v="South"/>
    <x v="313"/>
    <n v="32"/>
    <x v="2"/>
    <n v="4248.5"/>
    <n v="4706.7"/>
    <s v="New"/>
    <n v="0.01"/>
    <s v="Bank Transfer"/>
    <s v="Retail"/>
    <s v="South-Eve"/>
    <n v="14662.399999999994"/>
    <n v="9.7350585335797865E-2"/>
    <n v="150614.39999999999"/>
  </r>
  <r>
    <n v="1099"/>
    <x v="198"/>
    <s v="Alice"/>
    <s v="South"/>
    <x v="314"/>
    <n v="48"/>
    <x v="1"/>
    <n v="3441.61"/>
    <n v="3693.45"/>
    <s v="Returning"/>
    <n v="0.19"/>
    <s v="Bank Transfer"/>
    <s v="Online"/>
    <s v="South-Alice"/>
    <n v="12088.319999999985"/>
    <n v="6.8185571755404767E-2"/>
    <n v="177285.59999999998"/>
  </r>
  <r>
    <n v="1025"/>
    <x v="108"/>
    <s v="David"/>
    <s v="North"/>
    <x v="315"/>
    <n v="44"/>
    <x v="1"/>
    <n v="1485.72"/>
    <n v="1717.97"/>
    <s v="New"/>
    <n v="0.02"/>
    <s v="Credit Card"/>
    <s v="Retail"/>
    <s v="North-David"/>
    <n v="10219"/>
    <n v="0.13518862378272029"/>
    <n v="75590.680000000008"/>
  </r>
  <r>
    <n v="1093"/>
    <x v="199"/>
    <s v="Charlie"/>
    <s v="North"/>
    <x v="316"/>
    <n v="40"/>
    <x v="0"/>
    <n v="1047.25"/>
    <n v="1075.8900000000001"/>
    <s v="New"/>
    <n v="0.28000000000000003"/>
    <s v="Credit Card"/>
    <s v="Retail"/>
    <s v="North-Charlie"/>
    <n v="1145.600000000004"/>
    <n v="2.6619821728987254E-2"/>
    <n v="43035.600000000006"/>
  </r>
  <r>
    <n v="1018"/>
    <x v="200"/>
    <s v="Alice"/>
    <s v="West"/>
    <x v="317"/>
    <n v="24"/>
    <x v="3"/>
    <n v="1362.78"/>
    <n v="1729.81"/>
    <s v="New"/>
    <n v="0.28999999999999998"/>
    <s v="Bank Transfer"/>
    <s v="Online"/>
    <s v="West-Alice"/>
    <n v="8808.7199999999993"/>
    <n v="0.21217937230100412"/>
    <n v="41515.440000000002"/>
  </r>
  <r>
    <n v="1082"/>
    <x v="201"/>
    <s v="Alice"/>
    <s v="North"/>
    <x v="318"/>
    <n v="17"/>
    <x v="0"/>
    <n v="890.31"/>
    <n v="1159.06"/>
    <s v="Returning"/>
    <n v="0.06"/>
    <s v="Cash"/>
    <s v="Retail"/>
    <s v="North-Alice"/>
    <n v="4568.75"/>
    <n v="0.23186892826945973"/>
    <n v="19704.02"/>
  </r>
  <r>
    <n v="1066"/>
    <x v="202"/>
    <s v="Charlie"/>
    <s v="North"/>
    <x v="319"/>
    <n v="7"/>
    <x v="2"/>
    <n v="523.41999999999996"/>
    <n v="632.43999999999903"/>
    <s v="New"/>
    <n v="0.2"/>
    <s v="Bank Transfer"/>
    <s v="Online"/>
    <s v="North-Charlie"/>
    <n v="763.13999999999351"/>
    <n v="0.17237998861551962"/>
    <n v="4427.0799999999936"/>
  </r>
  <r>
    <n v="1054"/>
    <x v="164"/>
    <s v="Alice"/>
    <s v="North"/>
    <x v="320"/>
    <n v="43"/>
    <x v="1"/>
    <n v="2124.7199999999998"/>
    <n v="2188.66"/>
    <s v="Returning"/>
    <n v="0.03"/>
    <s v="Credit Card"/>
    <s v="Retail"/>
    <s v="North-Alice"/>
    <n v="2749.4200000000023"/>
    <n v="2.9214222400921138E-2"/>
    <n v="94112.37999999999"/>
  </r>
  <r>
    <n v="1035"/>
    <x v="108"/>
    <s v="David"/>
    <s v="North"/>
    <x v="321"/>
    <n v="1"/>
    <x v="0"/>
    <n v="610.83000000000004"/>
    <n v="808.69"/>
    <s v="New"/>
    <n v="0.22"/>
    <s v="Credit Card"/>
    <s v="Online"/>
    <s v="North-David"/>
    <n v="197.86"/>
    <n v="0.24466730143812834"/>
    <n v="808.69"/>
  </r>
  <r>
    <n v="1080"/>
    <x v="68"/>
    <s v="Eve"/>
    <s v="West"/>
    <x v="322"/>
    <n v="35"/>
    <x v="0"/>
    <n v="900.97"/>
    <n v="1321.18"/>
    <s v="Returning"/>
    <n v="0.1"/>
    <s v="Cash"/>
    <s v="Online"/>
    <s v="West-Eve"/>
    <n v="14707.350000000002"/>
    <n v="0.31805658577937906"/>
    <n v="46241.3"/>
  </r>
  <r>
    <n v="1061"/>
    <x v="89"/>
    <s v="Alice"/>
    <s v="North"/>
    <x v="323"/>
    <n v="32"/>
    <x v="1"/>
    <n v="2759.26"/>
    <n v="3193.25"/>
    <s v="New"/>
    <n v="0.2"/>
    <s v="Bank Transfer"/>
    <s v="Online"/>
    <s v="North-Alice"/>
    <n v="13887.679999999993"/>
    <n v="0.13590855711265945"/>
    <n v="102184"/>
  </r>
  <r>
    <n v="1041"/>
    <x v="203"/>
    <s v="David"/>
    <s v="East"/>
    <x v="324"/>
    <n v="36"/>
    <x v="1"/>
    <n v="864.77"/>
    <n v="1170.1599999999901"/>
    <s v="Returning"/>
    <n v="0.11"/>
    <s v="Cash"/>
    <s v="Retail"/>
    <s v="East-David"/>
    <n v="10994.039999999644"/>
    <n v="0.26098140425240368"/>
    <n v="42125.759999999646"/>
  </r>
  <r>
    <n v="1100"/>
    <x v="77"/>
    <s v="Bob"/>
    <s v="East"/>
    <x v="325"/>
    <n v="13"/>
    <x v="1"/>
    <n v="366.2"/>
    <n v="732.69"/>
    <s v="New"/>
    <n v="0.04"/>
    <s v="Cash"/>
    <s v="Retail"/>
    <s v="East-Bob"/>
    <n v="4764.3700000000008"/>
    <n v="0.50019790088577709"/>
    <n v="9524.9700000000012"/>
  </r>
  <r>
    <n v="1033"/>
    <x v="163"/>
    <s v="David"/>
    <s v="East"/>
    <x v="326"/>
    <n v="6"/>
    <x v="2"/>
    <n v="1621.07"/>
    <n v="1687.5"/>
    <s v="Returning"/>
    <n v="0.12"/>
    <s v="Credit Card"/>
    <s v="Online"/>
    <s v="East-David"/>
    <n v="398.58000000000038"/>
    <n v="3.9365925925925964E-2"/>
    <n v="10125"/>
  </r>
  <r>
    <n v="1068"/>
    <x v="29"/>
    <s v="Eve"/>
    <s v="East"/>
    <x v="327"/>
    <n v="14"/>
    <x v="1"/>
    <n v="1140.58"/>
    <n v="1438.76"/>
    <s v="Returning"/>
    <n v="0.03"/>
    <s v="Bank Transfer"/>
    <s v="Online"/>
    <s v="East-Eve"/>
    <n v="4174.5200000000004"/>
    <n v="0.20724790792070952"/>
    <n v="20142.64"/>
  </r>
  <r>
    <n v="1033"/>
    <x v="204"/>
    <s v="David"/>
    <s v="North"/>
    <x v="328"/>
    <n v="37"/>
    <x v="3"/>
    <n v="2600.7600000000002"/>
    <n v="2937.57"/>
    <s v="New"/>
    <n v="0.17"/>
    <s v="Credit Card"/>
    <s v="Retail"/>
    <s v="North-David"/>
    <n v="12461.969999999998"/>
    <n v="0.11465599117638044"/>
    <n v="108690.09000000001"/>
  </r>
  <r>
    <n v="1014"/>
    <x v="205"/>
    <s v="Charlie"/>
    <s v="East"/>
    <x v="329"/>
    <n v="48"/>
    <x v="0"/>
    <n v="556.72"/>
    <n v="665.07"/>
    <s v="Returning"/>
    <n v="0.01"/>
    <s v="Bank Transfer"/>
    <s v="Retail"/>
    <s v="East-Charlie"/>
    <n v="5200.8000000000011"/>
    <n v="0.16291518186055606"/>
    <n v="31923.360000000001"/>
  </r>
  <r>
    <n v="1021"/>
    <x v="90"/>
    <s v="Eve"/>
    <s v="North"/>
    <x v="330"/>
    <n v="15"/>
    <x v="1"/>
    <n v="3771.27"/>
    <n v="4212.55"/>
    <s v="Returning"/>
    <n v="0.16"/>
    <s v="Credit Card"/>
    <s v="Retail"/>
    <s v="North-Eve"/>
    <n v="6619.2000000000025"/>
    <n v="0.10475365277563475"/>
    <n v="63188.25"/>
  </r>
  <r>
    <n v="1048"/>
    <x v="206"/>
    <s v="Bob"/>
    <s v="West"/>
    <x v="331"/>
    <n v="47"/>
    <x v="1"/>
    <n v="4535.8599999999997"/>
    <n v="4641.41"/>
    <s v="New"/>
    <n v="0.27"/>
    <s v="Credit Card"/>
    <s v="Retail"/>
    <s v="West-Bob"/>
    <n v="4960.8500000000085"/>
    <n v="2.2740934328146015E-2"/>
    <n v="218146.27"/>
  </r>
  <r>
    <n v="1020"/>
    <x v="207"/>
    <s v="Charlie"/>
    <s v="East"/>
    <x v="332"/>
    <n v="4"/>
    <x v="2"/>
    <n v="3730"/>
    <n v="3893.6"/>
    <s v="New"/>
    <n v="0.25"/>
    <s v="Bank Transfer"/>
    <s v="Retail"/>
    <s v="East-Charlie"/>
    <n v="654.39999999999964"/>
    <n v="4.2017670022601171E-2"/>
    <n v="15574.4"/>
  </r>
  <r>
    <n v="1008"/>
    <x v="208"/>
    <s v="David"/>
    <s v="South"/>
    <x v="333"/>
    <n v="40"/>
    <x v="2"/>
    <n v="2687.49"/>
    <n v="3001.56"/>
    <s v="Returning"/>
    <n v="0.26"/>
    <s v="Bank Transfer"/>
    <s v="Online"/>
    <s v="South-David"/>
    <n v="12562.800000000007"/>
    <n v="0.10463558949346345"/>
    <n v="120062.39999999999"/>
  </r>
  <r>
    <n v="1007"/>
    <x v="14"/>
    <s v="Eve"/>
    <s v="East"/>
    <x v="334"/>
    <n v="16"/>
    <x v="0"/>
    <n v="4310.3100000000004"/>
    <n v="4633.1000000000004"/>
    <s v="New"/>
    <n v="0.28000000000000003"/>
    <s v="Credit Card"/>
    <s v="Retail"/>
    <s v="East-Eve"/>
    <n v="5164.6399999999994"/>
    <n v="6.9670415056873353E-2"/>
    <n v="74129.600000000006"/>
  </r>
  <r>
    <n v="1067"/>
    <x v="119"/>
    <s v="Bob"/>
    <s v="East"/>
    <x v="335"/>
    <n v="28"/>
    <x v="3"/>
    <n v="3489.85"/>
    <n v="3842.5499999999902"/>
    <s v="New"/>
    <n v="0.03"/>
    <s v="Bank Transfer"/>
    <s v="Online"/>
    <s v="East-Bob"/>
    <n v="9875.5999999997275"/>
    <n v="9.1788005361020969E-2"/>
    <n v="107591.39999999973"/>
  </r>
  <r>
    <n v="1017"/>
    <x v="156"/>
    <s v="Charlie"/>
    <s v="North"/>
    <x v="336"/>
    <n v="16"/>
    <x v="0"/>
    <n v="102.23"/>
    <n v="167.12"/>
    <s v="New"/>
    <n v="0.04"/>
    <s v="Credit Card"/>
    <s v="Retail"/>
    <s v="North-Charlie"/>
    <n v="1038.24"/>
    <n v="0.38828386787936814"/>
    <n v="2673.92"/>
  </r>
  <r>
    <n v="1033"/>
    <x v="123"/>
    <s v="Bob"/>
    <s v="East"/>
    <x v="337"/>
    <n v="4"/>
    <x v="1"/>
    <n v="2000.75"/>
    <n v="2426.9899999999998"/>
    <s v="Returning"/>
    <n v="0.17"/>
    <s v="Bank Transfer"/>
    <s v="Online"/>
    <s v="East-Bob"/>
    <n v="1704.9599999999991"/>
    <n v="0.17562495107107975"/>
    <n v="9707.9599999999991"/>
  </r>
  <r>
    <n v="1048"/>
    <x v="154"/>
    <s v="David"/>
    <s v="South"/>
    <x v="338"/>
    <n v="45"/>
    <x v="3"/>
    <n v="4262.21"/>
    <n v="4533.3100000000004"/>
    <s v="Returning"/>
    <n v="0.27"/>
    <s v="Credit Card"/>
    <s v="Online"/>
    <s v="South-David"/>
    <n v="12199.500000000016"/>
    <n v="5.9801778391506501E-2"/>
    <n v="203998.95"/>
  </r>
  <r>
    <n v="1076"/>
    <x v="2"/>
    <s v="Bob"/>
    <s v="North"/>
    <x v="339"/>
    <n v="26"/>
    <x v="3"/>
    <n v="1762"/>
    <n v="2002.95"/>
    <s v="Returning"/>
    <n v="0.28999999999999998"/>
    <s v="Credit Card"/>
    <s v="Retail"/>
    <s v="North-Bob"/>
    <n v="6264.7000000000007"/>
    <n v="0.12029756109738136"/>
    <n v="52076.700000000004"/>
  </r>
  <r>
    <n v="1059"/>
    <x v="96"/>
    <s v="Alice"/>
    <s v="North"/>
    <x v="340"/>
    <n v="28"/>
    <x v="3"/>
    <n v="224.32"/>
    <n v="715.06"/>
    <s v="Returning"/>
    <n v="0.01"/>
    <s v="Credit Card"/>
    <s v="Online"/>
    <s v="North-Alice"/>
    <n v="13740.72"/>
    <n v="0.68629205940760207"/>
    <n v="20021.68"/>
  </r>
  <r>
    <n v="1086"/>
    <x v="209"/>
    <s v="Charlie"/>
    <s v="West"/>
    <x v="341"/>
    <n v="32"/>
    <x v="3"/>
    <n v="3743.59"/>
    <n v="4116.38"/>
    <s v="Returning"/>
    <n v="0.11"/>
    <s v="Cash"/>
    <s v="Online"/>
    <s v="West-Charlie"/>
    <n v="11929.279999999999"/>
    <n v="9.0562581685850171E-2"/>
    <n v="131724.16"/>
  </r>
  <r>
    <n v="1022"/>
    <x v="210"/>
    <s v="Bob"/>
    <s v="West"/>
    <x v="342"/>
    <n v="45"/>
    <x v="0"/>
    <n v="4020.09"/>
    <n v="4087.91"/>
    <s v="Returning"/>
    <n v="0.06"/>
    <s v="Bank Transfer"/>
    <s v="Online"/>
    <s v="West-Bob"/>
    <n v="3051.8999999999869"/>
    <n v="1.6590384817669595E-2"/>
    <n v="183955.94999999998"/>
  </r>
  <r>
    <n v="1030"/>
    <x v="101"/>
    <s v="David"/>
    <s v="East"/>
    <x v="343"/>
    <n v="2"/>
    <x v="2"/>
    <n v="844.94"/>
    <n v="1225.6400000000001"/>
    <s v="Returning"/>
    <n v="0.23"/>
    <s v="Credit Card"/>
    <s v="Online"/>
    <s v="East-David"/>
    <n v="761.40000000000009"/>
    <n v="0.31061323063868673"/>
    <n v="2451.2800000000002"/>
  </r>
  <r>
    <n v="1038"/>
    <x v="108"/>
    <s v="David"/>
    <s v="West"/>
    <x v="344"/>
    <n v="31"/>
    <x v="2"/>
    <n v="2709.84"/>
    <n v="2766.51"/>
    <s v="New"/>
    <n v="0.19"/>
    <s v="Cash"/>
    <s v="Retail"/>
    <s v="West-David"/>
    <n v="1756.7700000000023"/>
    <n v="2.0484292484032253E-2"/>
    <n v="85761.810000000012"/>
  </r>
  <r>
    <n v="1051"/>
    <x v="211"/>
    <s v="Bob"/>
    <s v="West"/>
    <x v="345"/>
    <n v="3"/>
    <x v="1"/>
    <n v="1000.18"/>
    <n v="1023.64"/>
    <s v="Returning"/>
    <n v="0.04"/>
    <s v="Credit Card"/>
    <s v="Online"/>
    <s v="West-Bob"/>
    <n v="70.380000000000109"/>
    <n v="2.291821343441057E-2"/>
    <n v="3070.92"/>
  </r>
  <r>
    <n v="1054"/>
    <x v="146"/>
    <s v="David"/>
    <s v="West"/>
    <x v="346"/>
    <n v="8"/>
    <x v="2"/>
    <n v="3610.21"/>
    <n v="3817.99"/>
    <s v="Returning"/>
    <n v="0.15"/>
    <s v="Cash"/>
    <s v="Retail"/>
    <s v="West-David"/>
    <n v="1662.239999999998"/>
    <n v="5.4421305451297607E-2"/>
    <n v="30543.919999999998"/>
  </r>
  <r>
    <n v="1008"/>
    <x v="98"/>
    <s v="Eve"/>
    <s v="North"/>
    <x v="347"/>
    <n v="24"/>
    <x v="2"/>
    <n v="1394.17"/>
    <n v="1891.02"/>
    <s v="New"/>
    <n v="0.21"/>
    <s v="Credit Card"/>
    <s v="Online"/>
    <s v="North-Eve"/>
    <n v="11924.399999999998"/>
    <n v="0.26274180072130382"/>
    <n v="45384.479999999996"/>
  </r>
  <r>
    <n v="1027"/>
    <x v="162"/>
    <s v="Eve"/>
    <s v="North"/>
    <x v="348"/>
    <n v="15"/>
    <x v="2"/>
    <n v="1615.26"/>
    <n v="1710.95"/>
    <s v="New"/>
    <n v="0.23"/>
    <s v="Credit Card"/>
    <s v="Retail"/>
    <s v="North-Eve"/>
    <n v="1435.3500000000008"/>
    <n v="5.5927993220140887E-2"/>
    <n v="25664.25"/>
  </r>
  <r>
    <n v="1027"/>
    <x v="34"/>
    <s v="Eve"/>
    <s v="North"/>
    <x v="349"/>
    <n v="43"/>
    <x v="2"/>
    <n v="4232.6099999999997"/>
    <n v="4572.21"/>
    <s v="New"/>
    <n v="0.01"/>
    <s v="Cash"/>
    <s v="Retail"/>
    <s v="North-Eve"/>
    <n v="14602.800000000016"/>
    <n v="7.4274803650751023E-2"/>
    <n v="196605.03"/>
  </r>
  <r>
    <n v="1098"/>
    <x v="27"/>
    <s v="Alice"/>
    <s v="West"/>
    <x v="350"/>
    <n v="31"/>
    <x v="1"/>
    <n v="2407.8000000000002"/>
    <n v="2502.7600000000002"/>
    <s v="Returning"/>
    <n v="0.27"/>
    <s v="Cash"/>
    <s v="Retail"/>
    <s v="West-Alice"/>
    <n v="2943.7600000000011"/>
    <n v="3.7942111908453077E-2"/>
    <n v="77585.560000000012"/>
  </r>
  <r>
    <n v="1021"/>
    <x v="212"/>
    <s v="Bob"/>
    <s v="North"/>
    <x v="351"/>
    <n v="9"/>
    <x v="0"/>
    <n v="3365.28"/>
    <n v="3730.43"/>
    <s v="New"/>
    <n v="0.17"/>
    <s v="Bank Transfer"/>
    <s v="Online"/>
    <s v="North-Bob"/>
    <n v="3286.3499999999967"/>
    <n v="9.7884158126542969E-2"/>
    <n v="33573.869999999995"/>
  </r>
  <r>
    <n v="1030"/>
    <x v="128"/>
    <s v="Alice"/>
    <s v="West"/>
    <x v="352"/>
    <n v="39"/>
    <x v="3"/>
    <n v="2041.75"/>
    <n v="2299.37"/>
    <s v="Returning"/>
    <n v="0.24"/>
    <s v="Bank Transfer"/>
    <s v="Retail"/>
    <s v="West-Alice"/>
    <n v="10047.179999999997"/>
    <n v="0.11203938470102677"/>
    <n v="89675.43"/>
  </r>
  <r>
    <n v="1097"/>
    <x v="213"/>
    <s v="David"/>
    <s v="North"/>
    <x v="353"/>
    <n v="45"/>
    <x v="2"/>
    <n v="1525.13"/>
    <n v="1868.32"/>
    <s v="Returning"/>
    <n v="0.24"/>
    <s v="Cash"/>
    <s v="Retail"/>
    <s v="North-David"/>
    <n v="15443.549999999992"/>
    <n v="0.18368908966344086"/>
    <n v="84074.4"/>
  </r>
  <r>
    <n v="1028"/>
    <x v="67"/>
    <s v="Alice"/>
    <s v="North"/>
    <x v="354"/>
    <n v="2"/>
    <x v="0"/>
    <n v="3146.12"/>
    <n v="3255.5299999999902"/>
    <s v="Returning"/>
    <n v="0.06"/>
    <s v="Bank Transfer"/>
    <s v="Online"/>
    <s v="North-Alice"/>
    <n v="218.81999999998061"/>
    <n v="3.3607431048090677E-2"/>
    <n v="6511.0599999999804"/>
  </r>
  <r>
    <n v="1064"/>
    <x v="214"/>
    <s v="David"/>
    <s v="South"/>
    <x v="355"/>
    <n v="8"/>
    <x v="2"/>
    <n v="816.54"/>
    <n v="1191.9000000000001"/>
    <s v="New"/>
    <n v="0.03"/>
    <s v="Cash"/>
    <s v="Retail"/>
    <s v="South-David"/>
    <n v="3002.880000000001"/>
    <n v="0.31492574880442997"/>
    <n v="9535.2000000000007"/>
  </r>
  <r>
    <n v="1097"/>
    <x v="215"/>
    <s v="David"/>
    <s v="East"/>
    <x v="356"/>
    <n v="7"/>
    <x v="2"/>
    <n v="1896.35"/>
    <n v="2394.1999999999998"/>
    <s v="New"/>
    <n v="0.22"/>
    <s v="Bank Transfer"/>
    <s v="Online"/>
    <s v="East-David"/>
    <n v="3484.9499999999994"/>
    <n v="0.2079400217191546"/>
    <n v="16759.399999999998"/>
  </r>
  <r>
    <n v="1069"/>
    <x v="216"/>
    <s v="Charlie"/>
    <s v="West"/>
    <x v="357"/>
    <n v="44"/>
    <x v="3"/>
    <n v="1084.73"/>
    <n v="1420.9"/>
    <s v="Returning"/>
    <n v="0.05"/>
    <s v="Credit Card"/>
    <s v="Online"/>
    <s v="West-Charlie"/>
    <n v="14791.480000000003"/>
    <n v="0.23658948553733553"/>
    <n v="62519.600000000006"/>
  </r>
  <r>
    <n v="1061"/>
    <x v="20"/>
    <s v="Eve"/>
    <s v="South"/>
    <x v="358"/>
    <n v="39"/>
    <x v="3"/>
    <n v="3494.19"/>
    <n v="3746"/>
    <s v="Returning"/>
    <n v="0.25"/>
    <s v="Bank Transfer"/>
    <s v="Retail"/>
    <s v="South-Eve"/>
    <n v="9820.5899999999983"/>
    <n v="6.7221035771489579E-2"/>
    <n v="146094"/>
  </r>
  <r>
    <n v="1048"/>
    <x v="33"/>
    <s v="David"/>
    <s v="North"/>
    <x v="359"/>
    <n v="42"/>
    <x v="3"/>
    <n v="4723.83"/>
    <n v="5186.1899999999996"/>
    <s v="Returning"/>
    <n v="0.22"/>
    <s v="Credit Card"/>
    <s v="Online"/>
    <s v="North-David"/>
    <n v="19419.119999999988"/>
    <n v="8.9152152157942491E-2"/>
    <n v="217819.97999999998"/>
  </r>
  <r>
    <n v="1019"/>
    <x v="178"/>
    <s v="Charlie"/>
    <s v="West"/>
    <x v="360"/>
    <n v="16"/>
    <x v="2"/>
    <n v="4977.78"/>
    <n v="4995.55"/>
    <s v="New"/>
    <n v="0.25"/>
    <s v="Credit Card"/>
    <s v="Online"/>
    <s v="West-Charlie"/>
    <n v="284.32000000000698"/>
    <n v="3.5571658776311788E-3"/>
    <n v="79928.800000000003"/>
  </r>
  <r>
    <n v="1004"/>
    <x v="217"/>
    <s v="Eve"/>
    <s v="North"/>
    <x v="361"/>
    <n v="35"/>
    <x v="2"/>
    <n v="2278.87"/>
    <n v="2646.5299999999902"/>
    <s v="Returning"/>
    <n v="0.09"/>
    <s v="Bank Transfer"/>
    <s v="Online"/>
    <s v="North-Eve"/>
    <n v="12868.09999999966"/>
    <n v="0.13892153121256576"/>
    <n v="92628.549999999654"/>
  </r>
  <r>
    <n v="1035"/>
    <x v="218"/>
    <s v="David"/>
    <s v="East"/>
    <x v="362"/>
    <n v="30"/>
    <x v="2"/>
    <n v="1300.03"/>
    <n v="1745.52"/>
    <s v="New"/>
    <n v="0.09"/>
    <s v="Cash"/>
    <s v="Retail"/>
    <s v="East-David"/>
    <n v="13364.7"/>
    <n v="0.25521907511801645"/>
    <n v="52365.599999999999"/>
  </r>
  <r>
    <n v="1064"/>
    <x v="219"/>
    <s v="David"/>
    <s v="South"/>
    <x v="363"/>
    <n v="10"/>
    <x v="3"/>
    <n v="2242.0100000000002"/>
    <n v="2282.23"/>
    <s v="Returning"/>
    <n v="0.2"/>
    <s v="Credit Card"/>
    <s v="Online"/>
    <s v="South-David"/>
    <n v="402.199999999998"/>
    <n v="1.7623114234761528E-2"/>
    <n v="22822.3"/>
  </r>
  <r>
    <n v="1049"/>
    <x v="131"/>
    <s v="Alice"/>
    <s v="East"/>
    <x v="364"/>
    <n v="38"/>
    <x v="1"/>
    <n v="4243.9799999999996"/>
    <n v="4474.5099999999902"/>
    <s v="New"/>
    <n v="0.01"/>
    <s v="Credit Card"/>
    <s v="Online"/>
    <s v="East-Alice"/>
    <n v="8760.1399999996447"/>
    <n v="5.1520725174374657E-2"/>
    <n v="170031.37999999963"/>
  </r>
  <r>
    <n v="1017"/>
    <x v="220"/>
    <s v="Alice"/>
    <s v="South"/>
    <x v="365"/>
    <n v="18"/>
    <x v="0"/>
    <n v="1069.73"/>
    <n v="1180.04"/>
    <s v="Returning"/>
    <n v="0.22"/>
    <s v="Bank Transfer"/>
    <s v="Online"/>
    <s v="South-Alice"/>
    <n v="1985.579999999999"/>
    <n v="9.3479882037896964E-2"/>
    <n v="21240.720000000001"/>
  </r>
  <r>
    <n v="1044"/>
    <x v="142"/>
    <s v="Eve"/>
    <s v="North"/>
    <x v="366"/>
    <n v="5"/>
    <x v="1"/>
    <n v="4762.87"/>
    <n v="5050.46"/>
    <s v="New"/>
    <n v="0.25"/>
    <s v="Cash"/>
    <s v="Retail"/>
    <s v="North-Eve"/>
    <n v="1437.9500000000007"/>
    <n v="5.6943327934485206E-2"/>
    <n v="25252.3"/>
  </r>
  <r>
    <n v="1092"/>
    <x v="221"/>
    <s v="David"/>
    <s v="East"/>
    <x v="367"/>
    <n v="29"/>
    <x v="2"/>
    <n v="1742.24"/>
    <n v="2070.52"/>
    <s v="New"/>
    <n v="0.12"/>
    <s v="Cash"/>
    <s v="Online"/>
    <s v="East-David"/>
    <n v="9520.119999999999"/>
    <n v="0.15854954310994337"/>
    <n v="60045.08"/>
  </r>
  <r>
    <n v="1030"/>
    <x v="222"/>
    <s v="Bob"/>
    <s v="East"/>
    <x v="368"/>
    <n v="39"/>
    <x v="2"/>
    <n v="4929.7299999999996"/>
    <n v="5088.0199999999904"/>
    <s v="New"/>
    <n v="0.23"/>
    <s v="Bank Transfer"/>
    <s v="Retail"/>
    <s v="East-Bob"/>
    <n v="6173.3099999996439"/>
    <n v="3.1110333685793527E-2"/>
    <n v="198432.77999999962"/>
  </r>
  <r>
    <n v="1093"/>
    <x v="223"/>
    <s v="Alice"/>
    <s v="North"/>
    <x v="369"/>
    <n v="34"/>
    <x v="1"/>
    <n v="4201.1099999999997"/>
    <n v="4436.5"/>
    <s v="New"/>
    <n v="0.05"/>
    <s v="Cash"/>
    <s v="Online"/>
    <s v="North-Alice"/>
    <n v="8003.2600000000111"/>
    <n v="5.3057590442916788E-2"/>
    <n v="150841"/>
  </r>
  <r>
    <n v="1046"/>
    <x v="54"/>
    <s v="Eve"/>
    <s v="East"/>
    <x v="370"/>
    <n v="43"/>
    <x v="2"/>
    <n v="4052.42"/>
    <n v="4199.3"/>
    <s v="New"/>
    <n v="0.1"/>
    <s v="Bank Transfer"/>
    <s v="Retail"/>
    <s v="East-Eve"/>
    <n v="6315.8400000000047"/>
    <n v="3.4977258114447671E-2"/>
    <n v="180569.9"/>
  </r>
  <r>
    <n v="1006"/>
    <x v="70"/>
    <s v="David"/>
    <s v="West"/>
    <x v="371"/>
    <n v="45"/>
    <x v="0"/>
    <n v="1623.63"/>
    <n v="1814.63"/>
    <s v="New"/>
    <n v="0.28999999999999998"/>
    <s v="Bank Transfer"/>
    <s v="Retail"/>
    <s v="West-David"/>
    <n v="8595"/>
    <n v="0.10525561684751161"/>
    <n v="81658.350000000006"/>
  </r>
  <r>
    <n v="1099"/>
    <x v="62"/>
    <s v="David"/>
    <s v="South"/>
    <x v="372"/>
    <n v="23"/>
    <x v="2"/>
    <n v="93.45"/>
    <n v="181.62"/>
    <s v="Returning"/>
    <n v="0.3"/>
    <s v="Bank Transfer"/>
    <s v="Retail"/>
    <s v="South-David"/>
    <n v="2027.91"/>
    <n v="0.48546415592996367"/>
    <n v="4177.26"/>
  </r>
  <r>
    <n v="1037"/>
    <x v="224"/>
    <s v="Bob"/>
    <s v="South"/>
    <x v="373"/>
    <n v="5"/>
    <x v="0"/>
    <n v="1941.56"/>
    <n v="2385.48"/>
    <s v="Returning"/>
    <n v="0.15"/>
    <s v="Credit Card"/>
    <s v="Online"/>
    <s v="South-Bob"/>
    <n v="2219.6000000000004"/>
    <n v="0.18609252645169949"/>
    <n v="11927.4"/>
  </r>
  <r>
    <n v="1024"/>
    <x v="195"/>
    <s v="Eve"/>
    <s v="South"/>
    <x v="374"/>
    <n v="30"/>
    <x v="1"/>
    <n v="1543.96"/>
    <n v="1558.87"/>
    <s v="Returning"/>
    <n v="0.28000000000000003"/>
    <s v="Credit Card"/>
    <s v="Online"/>
    <s v="South-Eve"/>
    <n v="447.29999999999563"/>
    <n v="9.564620526406855E-3"/>
    <n v="46766.1"/>
  </r>
  <r>
    <n v="1093"/>
    <x v="11"/>
    <s v="David"/>
    <s v="West"/>
    <x v="375"/>
    <n v="6"/>
    <x v="1"/>
    <n v="235.12"/>
    <n v="677.5"/>
    <s v="Returning"/>
    <n v="0.16"/>
    <s v="Credit Card"/>
    <s v="Online"/>
    <s v="West-David"/>
    <n v="2654.2799999999997"/>
    <n v="0.65295940959409593"/>
    <n v="4065"/>
  </r>
  <r>
    <n v="1046"/>
    <x v="225"/>
    <s v="Alice"/>
    <s v="South"/>
    <x v="376"/>
    <n v="46"/>
    <x v="2"/>
    <n v="2551.56"/>
    <n v="2841.68"/>
    <s v="New"/>
    <n v="0.09"/>
    <s v="Bank Transfer"/>
    <s v="Retail"/>
    <s v="South-Alice"/>
    <n v="13345.519999999995"/>
    <n v="0.10209453562681227"/>
    <n v="130717.28"/>
  </r>
  <r>
    <n v="1053"/>
    <x v="226"/>
    <s v="Bob"/>
    <s v="North"/>
    <x v="377"/>
    <n v="44"/>
    <x v="0"/>
    <n v="2045"/>
    <n v="2217.5100000000002"/>
    <s v="Returning"/>
    <n v="0.08"/>
    <s v="Credit Card"/>
    <s v="Online"/>
    <s v="North-Bob"/>
    <n v="7590.4400000000096"/>
    <n v="7.7794463159129024E-2"/>
    <n v="97570.44"/>
  </r>
  <r>
    <n v="1095"/>
    <x v="182"/>
    <s v="Eve"/>
    <s v="East"/>
    <x v="378"/>
    <n v="4"/>
    <x v="2"/>
    <n v="3191.05"/>
    <n v="3555.35"/>
    <s v="New"/>
    <n v="0.28000000000000003"/>
    <s v="Credit Card"/>
    <s v="Online"/>
    <s v="East-Eve"/>
    <n v="1457.1999999999989"/>
    <n v="0.10246529877508537"/>
    <n v="14221.4"/>
  </r>
  <r>
    <n v="1099"/>
    <x v="174"/>
    <s v="Bob"/>
    <s v="West"/>
    <x v="379"/>
    <n v="29"/>
    <x v="3"/>
    <n v="3124.87"/>
    <n v="3383.67"/>
    <s v="New"/>
    <n v="0.05"/>
    <s v="Credit Card"/>
    <s v="Retail"/>
    <s v="West-Bob"/>
    <n v="7505.2000000000053"/>
    <n v="7.6485000014776899E-2"/>
    <n v="98126.430000000008"/>
  </r>
  <r>
    <n v="1060"/>
    <x v="227"/>
    <s v="Alice"/>
    <s v="South"/>
    <x v="380"/>
    <n v="23"/>
    <x v="3"/>
    <n v="647.70000000000005"/>
    <n v="902.26"/>
    <s v="New"/>
    <n v="0.17"/>
    <s v="Bank Transfer"/>
    <s v="Online"/>
    <s v="South-Alice"/>
    <n v="5854.8799999999992"/>
    <n v="0.28213596967614651"/>
    <n v="20751.98"/>
  </r>
  <r>
    <n v="1097"/>
    <x v="228"/>
    <s v="Eve"/>
    <s v="North"/>
    <x v="381"/>
    <n v="6"/>
    <x v="3"/>
    <n v="4885.9799999999996"/>
    <n v="4949.95"/>
    <s v="Returning"/>
    <n v="0.17"/>
    <s v="Bank Transfer"/>
    <s v="Online"/>
    <s v="North-Eve"/>
    <n v="383.82000000000153"/>
    <n v="1.2923362862251186E-2"/>
    <n v="29699.699999999997"/>
  </r>
  <r>
    <n v="1063"/>
    <x v="166"/>
    <s v="Bob"/>
    <s v="East"/>
    <x v="382"/>
    <n v="32"/>
    <x v="3"/>
    <n v="975.31"/>
    <n v="1176.17"/>
    <s v="New"/>
    <n v="0.22"/>
    <s v="Bank Transfer"/>
    <s v="Retail"/>
    <s v="East-Bob"/>
    <n v="6427.5200000000041"/>
    <n v="0.17077463291871084"/>
    <n v="37637.440000000002"/>
  </r>
  <r>
    <n v="1085"/>
    <x v="189"/>
    <s v="Charlie"/>
    <s v="East"/>
    <x v="383"/>
    <n v="42"/>
    <x v="2"/>
    <n v="2254.11"/>
    <n v="2382.23"/>
    <s v="Returning"/>
    <n v="0.15"/>
    <s v="Credit Card"/>
    <s v="Retail"/>
    <s v="East-Charlie"/>
    <n v="5381.0399999999954"/>
    <n v="5.3781540825193153E-2"/>
    <n v="100053.66"/>
  </r>
  <r>
    <n v="1032"/>
    <x v="211"/>
    <s v="Alice"/>
    <s v="West"/>
    <x v="384"/>
    <n v="18"/>
    <x v="3"/>
    <n v="2466.1799999999998"/>
    <n v="2483.87"/>
    <s v="Returning"/>
    <n v="0.08"/>
    <s v="Cash"/>
    <s v="Online"/>
    <s v="West-Alice"/>
    <n v="318.42000000000098"/>
    <n v="7.121950826734111E-3"/>
    <n v="44709.659999999996"/>
  </r>
  <r>
    <n v="1087"/>
    <x v="229"/>
    <s v="Alice"/>
    <s v="West"/>
    <x v="385"/>
    <n v="15"/>
    <x v="0"/>
    <n v="4074.66"/>
    <n v="4261.1099999999997"/>
    <s v="Returning"/>
    <n v="0.05"/>
    <s v="Credit Card"/>
    <s v="Retail"/>
    <s v="West-Alice"/>
    <n v="2796.7499999999973"/>
    <n v="4.375620436928402E-2"/>
    <n v="63916.649999999994"/>
  </r>
  <r>
    <n v="1033"/>
    <x v="186"/>
    <s v="Alice"/>
    <s v="West"/>
    <x v="386"/>
    <n v="40"/>
    <x v="1"/>
    <n v="541.19000000000005"/>
    <n v="595.20000000000005"/>
    <s v="Returning"/>
    <n v="0.19"/>
    <s v="Credit Card"/>
    <s v="Online"/>
    <s v="West-Alice"/>
    <n v="2160.3999999999996"/>
    <n v="9.0742607526881708E-2"/>
    <n v="23808"/>
  </r>
  <r>
    <n v="1067"/>
    <x v="173"/>
    <s v="Charlie"/>
    <s v="North"/>
    <x v="387"/>
    <n v="32"/>
    <x v="1"/>
    <n v="2171.79"/>
    <n v="2307.64"/>
    <s v="Returning"/>
    <n v="0.22"/>
    <s v="Bank Transfer"/>
    <s v="Online"/>
    <s v="North-Charlie"/>
    <n v="4347.1999999999971"/>
    <n v="5.8869667712468113E-2"/>
    <n v="73844.479999999996"/>
  </r>
  <r>
    <n v="1018"/>
    <x v="185"/>
    <s v="Charlie"/>
    <s v="North"/>
    <x v="388"/>
    <n v="9"/>
    <x v="3"/>
    <n v="3161.09"/>
    <n v="3216.42"/>
    <s v="New"/>
    <n v="0.17"/>
    <s v="Bank Transfer"/>
    <s v="Online"/>
    <s v="North-Charlie"/>
    <n v="497.96999999999935"/>
    <n v="1.7202355413783003E-2"/>
    <n v="28947.78"/>
  </r>
  <r>
    <n v="1025"/>
    <x v="230"/>
    <s v="David"/>
    <s v="West"/>
    <x v="389"/>
    <n v="37"/>
    <x v="3"/>
    <n v="1115.02"/>
    <n v="1174.48"/>
    <s v="New"/>
    <n v="0.22"/>
    <s v="Credit Card"/>
    <s v="Online"/>
    <s v="West-David"/>
    <n v="2200.0200000000013"/>
    <n v="5.0626660309243267E-2"/>
    <n v="43455.76"/>
  </r>
  <r>
    <n v="1095"/>
    <x v="137"/>
    <s v="Bob"/>
    <s v="South"/>
    <x v="390"/>
    <n v="10"/>
    <x v="3"/>
    <n v="3155.97"/>
    <n v="3263.49"/>
    <s v="Returning"/>
    <n v="0.04"/>
    <s v="Credit Card"/>
    <s v="Online"/>
    <s v="South-Bob"/>
    <n v="1075.1999999999998"/>
    <n v="3.2946324333765382E-2"/>
    <n v="32634.899999999998"/>
  </r>
  <r>
    <n v="1054"/>
    <x v="230"/>
    <s v="David"/>
    <s v="East"/>
    <x v="391"/>
    <n v="20"/>
    <x v="2"/>
    <n v="4622.1400000000003"/>
    <n v="5122.07"/>
    <s v="New"/>
    <n v="0.26"/>
    <s v="Cash"/>
    <s v="Retail"/>
    <s v="East-David"/>
    <n v="9998.5999999999876"/>
    <n v="9.7603117489608579E-2"/>
    <n v="102441.4"/>
  </r>
  <r>
    <n v="1058"/>
    <x v="107"/>
    <s v="Bob"/>
    <s v="East"/>
    <x v="392"/>
    <n v="6"/>
    <x v="1"/>
    <n v="4987.71"/>
    <n v="4998.78"/>
    <s v="Returning"/>
    <n v="0.17"/>
    <s v="Cash"/>
    <s v="Retail"/>
    <s v="East-Bob"/>
    <n v="66.419999999998254"/>
    <n v="2.214540347844816E-3"/>
    <n v="29992.68"/>
  </r>
  <r>
    <n v="1067"/>
    <x v="231"/>
    <s v="Charlie"/>
    <s v="North"/>
    <x v="393"/>
    <n v="48"/>
    <x v="3"/>
    <n v="210.63"/>
    <n v="533.57999999999902"/>
    <s v="New"/>
    <n v="0.04"/>
    <s v="Bank Transfer"/>
    <s v="Online"/>
    <s v="North-Charlie"/>
    <n v="15501.599999999953"/>
    <n v="0.60525132126391468"/>
    <n v="25611.839999999953"/>
  </r>
  <r>
    <n v="1046"/>
    <x v="32"/>
    <s v="Charlie"/>
    <s v="East"/>
    <x v="394"/>
    <n v="3"/>
    <x v="0"/>
    <n v="1216.1600000000001"/>
    <n v="1295.3699999999999"/>
    <s v="New"/>
    <n v="0.14000000000000001"/>
    <s v="Cash"/>
    <s v="Retail"/>
    <s v="East-Charlie"/>
    <n v="237.62999999999943"/>
    <n v="6.11485521511227E-2"/>
    <n v="3886.1099999999997"/>
  </r>
  <r>
    <n v="1024"/>
    <x v="104"/>
    <s v="David"/>
    <s v="South"/>
    <x v="395"/>
    <n v="42"/>
    <x v="3"/>
    <n v="1586.02"/>
    <n v="2047.13"/>
    <s v="New"/>
    <n v="0.25"/>
    <s v="Cash"/>
    <s v="Retail"/>
    <s v="South-David"/>
    <n v="19366.620000000006"/>
    <n v="0.2252470531915414"/>
    <n v="85979.46"/>
  </r>
  <r>
    <n v="1032"/>
    <x v="232"/>
    <s v="Eve"/>
    <s v="East"/>
    <x v="396"/>
    <n v="11"/>
    <x v="1"/>
    <n v="2025.67"/>
    <n v="2081.5500000000002"/>
    <s v="New"/>
    <n v="0.27"/>
    <s v="Bank Transfer"/>
    <s v="Online"/>
    <s v="East-Eve"/>
    <n v="614.6800000000012"/>
    <n v="2.6845379644976148E-2"/>
    <n v="22897.050000000003"/>
  </r>
  <r>
    <n v="1047"/>
    <x v="197"/>
    <s v="David"/>
    <s v="North"/>
    <x v="397"/>
    <n v="43"/>
    <x v="3"/>
    <n v="1249.17"/>
    <n v="1727.15"/>
    <s v="New"/>
    <n v="0.08"/>
    <s v="Cash"/>
    <s v="Retail"/>
    <s v="North-David"/>
    <n v="20553.14"/>
    <n v="0.27674492661320671"/>
    <n v="74267.45"/>
  </r>
  <r>
    <n v="1086"/>
    <x v="233"/>
    <s v="Bob"/>
    <s v="North"/>
    <x v="398"/>
    <n v="17"/>
    <x v="1"/>
    <n v="1057.27"/>
    <n v="1366.62"/>
    <s v="New"/>
    <n v="0.21"/>
    <s v="Credit Card"/>
    <s v="Retail"/>
    <s v="North-Bob"/>
    <n v="5258.9499999999989"/>
    <n v="0.2263613879498324"/>
    <n v="23232.539999999997"/>
  </r>
  <r>
    <n v="1023"/>
    <x v="234"/>
    <s v="David"/>
    <s v="South"/>
    <x v="399"/>
    <n v="32"/>
    <x v="3"/>
    <n v="4775.04"/>
    <n v="4785.66"/>
    <s v="New"/>
    <n v="0.03"/>
    <s v="Cash"/>
    <s v="Online"/>
    <s v="South-David"/>
    <n v="339.83999999999651"/>
    <n v="2.2191296498288412E-3"/>
    <n v="153141.12"/>
  </r>
  <r>
    <n v="1066"/>
    <x v="235"/>
    <s v="Alice"/>
    <s v="South"/>
    <x v="400"/>
    <n v="4"/>
    <x v="0"/>
    <n v="4596.68"/>
    <n v="5044.74"/>
    <s v="New"/>
    <n v="0.01"/>
    <s v="Bank Transfer"/>
    <s v="Online"/>
    <s v="South-Alice"/>
    <n v="1792.239999999998"/>
    <n v="8.8817263129516988E-2"/>
    <n v="20178.96"/>
  </r>
  <r>
    <n v="1027"/>
    <x v="236"/>
    <s v="Bob"/>
    <s v="East"/>
    <x v="401"/>
    <n v="4"/>
    <x v="3"/>
    <n v="282.61"/>
    <n v="548.25"/>
    <s v="New"/>
    <n v="0.17"/>
    <s v="Credit Card"/>
    <s v="Online"/>
    <s v="East-Bob"/>
    <n v="1062.56"/>
    <n v="0.48452348381212945"/>
    <n v="2193"/>
  </r>
  <r>
    <n v="1002"/>
    <x v="21"/>
    <s v="Bob"/>
    <s v="East"/>
    <x v="402"/>
    <n v="17"/>
    <x v="0"/>
    <n v="1727.12"/>
    <n v="1865.83"/>
    <s v="New"/>
    <n v="0.21"/>
    <s v="Cash"/>
    <s v="Online"/>
    <s v="East-Bob"/>
    <n v="2358.0700000000006"/>
    <n v="7.4342249829834464E-2"/>
    <n v="31719.11"/>
  </r>
  <r>
    <n v="1090"/>
    <x v="168"/>
    <s v="Eve"/>
    <s v="North"/>
    <x v="403"/>
    <n v="41"/>
    <x v="0"/>
    <n v="2055.4899999999998"/>
    <n v="2441.46"/>
    <s v="New"/>
    <n v="0.24"/>
    <s v="Credit Card"/>
    <s v="Online"/>
    <s v="North-Eve"/>
    <n v="15824.770000000011"/>
    <n v="0.15808983149426994"/>
    <n v="100099.86"/>
  </r>
  <r>
    <n v="1017"/>
    <x v="157"/>
    <s v="Charlie"/>
    <s v="South"/>
    <x v="404"/>
    <n v="19"/>
    <x v="3"/>
    <n v="1233.1199999999999"/>
    <n v="1697.1899999999901"/>
    <s v="New"/>
    <n v="0.1"/>
    <s v="Credit Card"/>
    <s v="Online"/>
    <s v="South-Charlie"/>
    <n v="8817.3299999998126"/>
    <n v="0.27343432379403182"/>
    <n v="32246.609999999811"/>
  </r>
  <r>
    <n v="1033"/>
    <x v="237"/>
    <s v="Bob"/>
    <s v="South"/>
    <x v="405"/>
    <n v="5"/>
    <x v="0"/>
    <n v="3162.92"/>
    <n v="3409.93"/>
    <s v="New"/>
    <n v="0"/>
    <s v="Cash"/>
    <s v="Online"/>
    <s v="South-Bob"/>
    <n v="1235.0499999999988"/>
    <n v="7.2438437152668761E-2"/>
    <n v="17049.649999999998"/>
  </r>
  <r>
    <n v="1009"/>
    <x v="238"/>
    <s v="Charlie"/>
    <s v="South"/>
    <x v="406"/>
    <n v="32"/>
    <x v="2"/>
    <n v="3219.88"/>
    <n v="3384.5"/>
    <s v="Returning"/>
    <n v="0.14000000000000001"/>
    <s v="Cash"/>
    <s v="Retail"/>
    <s v="South-Charlie"/>
    <n v="5267.8399999999965"/>
    <n v="4.8639385433594293E-2"/>
    <n v="108304"/>
  </r>
  <r>
    <n v="1043"/>
    <x v="186"/>
    <s v="David"/>
    <s v="East"/>
    <x v="407"/>
    <n v="22"/>
    <x v="3"/>
    <n v="4260"/>
    <n v="4656.58"/>
    <s v="New"/>
    <n v="0"/>
    <s v="Bank Transfer"/>
    <s v="Online"/>
    <s v="East-David"/>
    <n v="8724.7599999999984"/>
    <n v="8.51655077331432E-2"/>
    <n v="102444.76"/>
  </r>
  <r>
    <n v="1048"/>
    <x v="62"/>
    <s v="Alice"/>
    <s v="South"/>
    <x v="408"/>
    <n v="6"/>
    <x v="3"/>
    <n v="3717.3"/>
    <n v="4061.37"/>
    <s v="New"/>
    <n v="0.03"/>
    <s v="Bank Transfer"/>
    <s v="Retail"/>
    <s v="South-Alice"/>
    <n v="2064.4199999999983"/>
    <n v="8.47177184053656E-2"/>
    <n v="24368.22"/>
  </r>
  <r>
    <n v="1039"/>
    <x v="37"/>
    <s v="Eve"/>
    <s v="North"/>
    <x v="409"/>
    <n v="35"/>
    <x v="0"/>
    <n v="2735.74"/>
    <n v="3181.22999999999"/>
    <s v="New"/>
    <n v="0.1"/>
    <s v="Credit Card"/>
    <s v="Retail"/>
    <s v="North-Eve"/>
    <n v="15592.149999999658"/>
    <n v="0.14003702970234519"/>
    <n v="111343.04999999965"/>
  </r>
  <r>
    <n v="1093"/>
    <x v="49"/>
    <s v="Charlie"/>
    <s v="North"/>
    <x v="410"/>
    <n v="22"/>
    <x v="0"/>
    <n v="3285.25"/>
    <n v="3634.58"/>
    <s v="New"/>
    <n v="0.13"/>
    <s v="Bank Transfer"/>
    <s v="Online"/>
    <s v="North-Charlie"/>
    <n v="7685.2599999999984"/>
    <n v="9.6112893374200037E-2"/>
    <n v="79960.759999999995"/>
  </r>
  <r>
    <n v="1042"/>
    <x v="239"/>
    <s v="Bob"/>
    <s v="East"/>
    <x v="411"/>
    <n v="1"/>
    <x v="3"/>
    <n v="1406.24"/>
    <n v="1535.57"/>
    <s v="New"/>
    <n v="0.08"/>
    <s v="Credit Card"/>
    <s v="Retail"/>
    <s v="East-Bob"/>
    <n v="129.32999999999993"/>
    <n v="8.4222796746484974E-2"/>
    <n v="1535.57"/>
  </r>
  <r>
    <n v="1026"/>
    <x v="173"/>
    <s v="Charlie"/>
    <s v="West"/>
    <x v="412"/>
    <n v="20"/>
    <x v="2"/>
    <n v="2985.63"/>
    <n v="3452.14"/>
    <s v="New"/>
    <n v="0.17"/>
    <s v="Credit Card"/>
    <s v="Retail"/>
    <s v="West-Charlie"/>
    <n v="9330.1999999999953"/>
    <n v="0.13513646607611504"/>
    <n v="69042.8"/>
  </r>
  <r>
    <n v="1099"/>
    <x v="240"/>
    <s v="Bob"/>
    <s v="East"/>
    <x v="413"/>
    <n v="22"/>
    <x v="0"/>
    <n v="2471.67"/>
    <n v="2533.04"/>
    <s v="Returning"/>
    <n v="0.02"/>
    <s v="Bank Transfer"/>
    <s v="Retail"/>
    <s v="East-Bob"/>
    <n v="1350.1399999999976"/>
    <n v="2.4227805324827042E-2"/>
    <n v="55726.879999999997"/>
  </r>
  <r>
    <n v="1050"/>
    <x v="5"/>
    <s v="Charlie"/>
    <s v="West"/>
    <x v="414"/>
    <n v="48"/>
    <x v="0"/>
    <n v="710.06"/>
    <n v="851.349999999999"/>
    <s v="Returning"/>
    <n v="0.04"/>
    <s v="Bank Transfer"/>
    <s v="Online"/>
    <s v="West-Charlie"/>
    <n v="6781.9199999999546"/>
    <n v="0.16595994596816729"/>
    <n v="40864.799999999952"/>
  </r>
  <r>
    <n v="1025"/>
    <x v="64"/>
    <s v="Bob"/>
    <s v="South"/>
    <x v="415"/>
    <n v="11"/>
    <x v="1"/>
    <n v="1250.5899999999999"/>
    <n v="1515.48999999999"/>
    <s v="Returning"/>
    <n v="0.21"/>
    <s v="Bank Transfer"/>
    <s v="Retail"/>
    <s v="South-Bob"/>
    <n v="2913.899999999891"/>
    <n v="0.1747949508079841"/>
    <n v="16670.38999999989"/>
  </r>
  <r>
    <n v="1024"/>
    <x v="241"/>
    <s v="David"/>
    <s v="East"/>
    <x v="416"/>
    <n v="13"/>
    <x v="2"/>
    <n v="1493.88"/>
    <n v="1781.09"/>
    <s v="New"/>
    <n v="0.04"/>
    <s v="Cash"/>
    <s v="Retail"/>
    <s v="East-David"/>
    <n v="3733.7299999999977"/>
    <n v="0.16125518643078107"/>
    <n v="23154.17"/>
  </r>
  <r>
    <n v="1013"/>
    <x v="0"/>
    <s v="Bob"/>
    <s v="North"/>
    <x v="417"/>
    <n v="42"/>
    <x v="2"/>
    <n v="4625.33"/>
    <n v="4642.83"/>
    <s v="New"/>
    <n v="0.19"/>
    <s v="Credit Card"/>
    <s v="Online"/>
    <s v="North-Bob"/>
    <n v="735"/>
    <n v="3.7692528048625519E-3"/>
    <n v="194998.86"/>
  </r>
  <r>
    <n v="1060"/>
    <x v="172"/>
    <s v="Bob"/>
    <s v="South"/>
    <x v="418"/>
    <n v="3"/>
    <x v="3"/>
    <n v="1190.4100000000001"/>
    <n v="1582.89"/>
    <s v="New"/>
    <n v="0.02"/>
    <s v="Credit Card"/>
    <s v="Retail"/>
    <s v="South-Bob"/>
    <n v="1177.44"/>
    <n v="0.24795153169203168"/>
    <n v="4748.67"/>
  </r>
  <r>
    <n v="1007"/>
    <x v="98"/>
    <s v="Alice"/>
    <s v="North"/>
    <x v="419"/>
    <n v="9"/>
    <x v="2"/>
    <n v="1481.76"/>
    <n v="1668.95"/>
    <s v="Returning"/>
    <n v="0.12"/>
    <s v="Credit Card"/>
    <s v="Retail"/>
    <s v="North-Alice"/>
    <n v="1684.7100000000005"/>
    <n v="0.11216034033374279"/>
    <n v="15020.550000000001"/>
  </r>
  <r>
    <n v="1057"/>
    <x v="115"/>
    <s v="Bob"/>
    <s v="South"/>
    <x v="420"/>
    <n v="12"/>
    <x v="3"/>
    <n v="1878.3"/>
    <n v="2087.4499999999998"/>
    <s v="New"/>
    <n v="0.05"/>
    <s v="Bank Transfer"/>
    <s v="Retail"/>
    <s v="South-Bob"/>
    <n v="2509.7999999999984"/>
    <n v="0.1001940166231526"/>
    <n v="25049.399999999998"/>
  </r>
  <r>
    <n v="1036"/>
    <x v="85"/>
    <s v="Alice"/>
    <s v="East"/>
    <x v="421"/>
    <n v="23"/>
    <x v="1"/>
    <n v="3335.53"/>
    <n v="3742.12"/>
    <s v="New"/>
    <n v="0.03"/>
    <s v="Bank Transfer"/>
    <s v="Retail"/>
    <s v="East-Alice"/>
    <n v="9351.5699999999924"/>
    <n v="0.10865231473068733"/>
    <n v="86068.76"/>
  </r>
  <r>
    <n v="1045"/>
    <x v="202"/>
    <s v="Eve"/>
    <s v="West"/>
    <x v="422"/>
    <n v="14"/>
    <x v="2"/>
    <n v="635.28"/>
    <n v="831.13"/>
    <s v="Returning"/>
    <n v="0.17"/>
    <s v="Bank Transfer"/>
    <s v="Retail"/>
    <s v="West-Eve"/>
    <n v="2741.9000000000005"/>
    <n v="0.2356430401982843"/>
    <n v="11635.82"/>
  </r>
  <r>
    <n v="1020"/>
    <x v="167"/>
    <s v="Alice"/>
    <s v="South"/>
    <x v="423"/>
    <n v="33"/>
    <x v="0"/>
    <n v="4772.03"/>
    <n v="4805.17"/>
    <s v="Returning"/>
    <n v="0.28000000000000003"/>
    <s v="Bank Transfer"/>
    <s v="Online"/>
    <s v="South-Alice"/>
    <n v="1093.6200000000108"/>
    <n v="6.8967383047842893E-3"/>
    <n v="158570.61000000002"/>
  </r>
  <r>
    <n v="1065"/>
    <x v="242"/>
    <s v="David"/>
    <s v="West"/>
    <x v="424"/>
    <n v="18"/>
    <x v="1"/>
    <n v="4334.58"/>
    <n v="4431.04"/>
    <s v="New"/>
    <n v="0.02"/>
    <s v="Bank Transfer"/>
    <s v="Retail"/>
    <s v="West-David"/>
    <n v="1736.2800000000007"/>
    <n v="2.1769155773813831E-2"/>
    <n v="79758.720000000001"/>
  </r>
  <r>
    <n v="1008"/>
    <x v="182"/>
    <s v="Alice"/>
    <s v="South"/>
    <x v="425"/>
    <n v="49"/>
    <x v="3"/>
    <n v="2907.22"/>
    <n v="3385.6099999999901"/>
    <s v="New"/>
    <n v="0.13"/>
    <s v="Cash"/>
    <s v="Online"/>
    <s v="South-Alice"/>
    <n v="23441.109999999528"/>
    <n v="0.14130097678113893"/>
    <n v="165894.88999999952"/>
  </r>
  <r>
    <n v="1016"/>
    <x v="243"/>
    <s v="Eve"/>
    <s v="North"/>
    <x v="426"/>
    <n v="41"/>
    <x v="1"/>
    <n v="3386.49"/>
    <n v="3430.99"/>
    <s v="New"/>
    <n v="0.21"/>
    <s v="Bank Transfer"/>
    <s v="Retail"/>
    <s v="North-Eve"/>
    <n v="1824.5"/>
    <n v="1.2970017400225591E-2"/>
    <n v="140670.59"/>
  </r>
  <r>
    <n v="1014"/>
    <x v="163"/>
    <s v="David"/>
    <s v="North"/>
    <x v="427"/>
    <n v="9"/>
    <x v="3"/>
    <n v="132.47"/>
    <n v="316.39"/>
    <s v="New"/>
    <n v="0.14000000000000001"/>
    <s v="Credit Card"/>
    <s v="Online"/>
    <s v="North-David"/>
    <n v="1655.28"/>
    <n v="0.58130787951578755"/>
    <n v="2847.5099999999998"/>
  </r>
  <r>
    <n v="1076"/>
    <x v="155"/>
    <s v="Charlie"/>
    <s v="South"/>
    <x v="428"/>
    <n v="23"/>
    <x v="1"/>
    <n v="1727.78"/>
    <n v="1984.34"/>
    <s v="Returning"/>
    <n v="0.24"/>
    <s v="Bank Transfer"/>
    <s v="Online"/>
    <s v="South-Charlie"/>
    <n v="5900.8799999999992"/>
    <n v="0.12929235917231924"/>
    <n v="45639.82"/>
  </r>
  <r>
    <n v="1087"/>
    <x v="39"/>
    <s v="Charlie"/>
    <s v="West"/>
    <x v="429"/>
    <n v="10"/>
    <x v="3"/>
    <n v="3988.52"/>
    <n v="4240.2299999999996"/>
    <s v="New"/>
    <n v="0.05"/>
    <s v="Credit Card"/>
    <s v="Online"/>
    <s v="West-Charlie"/>
    <n v="2517.0999999999958"/>
    <n v="5.936234591048118E-2"/>
    <n v="42402.299999999996"/>
  </r>
  <r>
    <n v="1015"/>
    <x v="244"/>
    <s v="Alice"/>
    <s v="East"/>
    <x v="430"/>
    <n v="19"/>
    <x v="2"/>
    <n v="433.54"/>
    <n v="445.48"/>
    <s v="New"/>
    <n v="0.28999999999999998"/>
    <s v="Bank Transfer"/>
    <s v="Retail"/>
    <s v="East-Alice"/>
    <n v="226.85999999999996"/>
    <n v="2.6802550058364003E-2"/>
    <n v="8464.1200000000008"/>
  </r>
  <r>
    <n v="1092"/>
    <x v="74"/>
    <s v="Alice"/>
    <s v="East"/>
    <x v="431"/>
    <n v="47"/>
    <x v="0"/>
    <n v="1447.45"/>
    <n v="1703.02"/>
    <s v="Returning"/>
    <n v="0.12"/>
    <s v="Bank Transfer"/>
    <s v="Retail"/>
    <s v="East-Alice"/>
    <n v="12011.789999999997"/>
    <n v="0.15006870148324736"/>
    <n v="80041.94"/>
  </r>
  <r>
    <n v="1098"/>
    <x v="238"/>
    <s v="Eve"/>
    <s v="North"/>
    <x v="432"/>
    <n v="5"/>
    <x v="3"/>
    <n v="2947.22"/>
    <n v="3145.27"/>
    <s v="New"/>
    <n v="0.1"/>
    <s v="Credit Card"/>
    <s v="Retail"/>
    <s v="North-Eve"/>
    <n v="990.25000000000091"/>
    <n v="6.2967567172293695E-2"/>
    <n v="15726.35"/>
  </r>
  <r>
    <n v="1066"/>
    <x v="245"/>
    <s v="Eve"/>
    <s v="East"/>
    <x v="433"/>
    <n v="47"/>
    <x v="1"/>
    <n v="1319.24"/>
    <n v="1805.56"/>
    <s v="New"/>
    <n v="0.26"/>
    <s v="Credit Card"/>
    <s v="Retail"/>
    <s v="East-Eve"/>
    <n v="22857.039999999997"/>
    <n v="0.269345798533419"/>
    <n v="84861.319999999992"/>
  </r>
  <r>
    <n v="1032"/>
    <x v="104"/>
    <s v="Bob"/>
    <s v="North"/>
    <x v="434"/>
    <n v="23"/>
    <x v="3"/>
    <n v="4673.1899999999996"/>
    <n v="4761.1799999999903"/>
    <s v="Returning"/>
    <n v="0.17"/>
    <s v="Credit Card"/>
    <s v="Retail"/>
    <s v="North-Bob"/>
    <n v="2023.7699999997858"/>
    <n v="1.8480712764480836E-2"/>
    <n v="109507.13999999978"/>
  </r>
  <r>
    <n v="1087"/>
    <x v="117"/>
    <s v="Eve"/>
    <s v="East"/>
    <x v="435"/>
    <n v="30"/>
    <x v="3"/>
    <n v="698.74"/>
    <n v="882.28"/>
    <s v="Returning"/>
    <n v="0.15"/>
    <s v="Credit Card"/>
    <s v="Online"/>
    <s v="East-Eve"/>
    <n v="5506.1999999999989"/>
    <n v="0.20802919708029194"/>
    <n v="26468.399999999998"/>
  </r>
  <r>
    <n v="1063"/>
    <x v="46"/>
    <s v="Bob"/>
    <s v="South"/>
    <x v="436"/>
    <n v="25"/>
    <x v="3"/>
    <n v="3997.1"/>
    <n v="4212.6499999999996"/>
    <s v="New"/>
    <n v="0.22"/>
    <s v="Cash"/>
    <s v="Online"/>
    <s v="South-Bob"/>
    <n v="5388.7499999999927"/>
    <n v="5.1167317484243822E-2"/>
    <n v="105316.24999999999"/>
  </r>
  <r>
    <n v="1086"/>
    <x v="246"/>
    <s v="David"/>
    <s v="North"/>
    <x v="437"/>
    <n v="28"/>
    <x v="1"/>
    <n v="2564.35"/>
    <n v="2765.79"/>
    <s v="Returning"/>
    <n v="0.17"/>
    <s v="Credit Card"/>
    <s v="Online"/>
    <s v="North-David"/>
    <n v="5640.3200000000015"/>
    <n v="7.2832716872936867E-2"/>
    <n v="77442.12"/>
  </r>
  <r>
    <n v="1051"/>
    <x v="247"/>
    <s v="Alice"/>
    <s v="North"/>
    <x v="438"/>
    <n v="34"/>
    <x v="0"/>
    <n v="3764.14"/>
    <n v="4100.3999999999996"/>
    <s v="Returning"/>
    <n v="0.05"/>
    <s v="Bank Transfer"/>
    <s v="Retail"/>
    <s v="North-Alice"/>
    <n v="11432.839999999993"/>
    <n v="8.200663349917077E-2"/>
    <n v="139413.59999999998"/>
  </r>
  <r>
    <n v="1025"/>
    <x v="248"/>
    <s v="David"/>
    <s v="South"/>
    <x v="439"/>
    <n v="45"/>
    <x v="2"/>
    <n v="1588.04"/>
    <n v="1703.6399999999901"/>
    <s v="New"/>
    <n v="0.2"/>
    <s v="Bank Transfer"/>
    <s v="Retail"/>
    <s v="South-David"/>
    <n v="5201.9999999995562"/>
    <n v="6.785471108919186E-2"/>
    <n v="76663.799999999552"/>
  </r>
  <r>
    <n v="1058"/>
    <x v="249"/>
    <s v="Eve"/>
    <s v="North"/>
    <x v="440"/>
    <n v="48"/>
    <x v="0"/>
    <n v="2596.7199999999998"/>
    <n v="2715.0499999999902"/>
    <s v="Returning"/>
    <n v="0.04"/>
    <s v="Cash"/>
    <s v="Online"/>
    <s v="North-Eve"/>
    <n v="5679.8399999995381"/>
    <n v="4.35829911051328E-2"/>
    <n v="130322.39999999953"/>
  </r>
  <r>
    <n v="1063"/>
    <x v="75"/>
    <s v="David"/>
    <s v="East"/>
    <x v="441"/>
    <n v="47"/>
    <x v="3"/>
    <n v="4291.33"/>
    <n v="4658.6400000000003"/>
    <s v="New"/>
    <n v="0.24"/>
    <s v="Credit Card"/>
    <s v="Retail"/>
    <s v="East-David"/>
    <n v="17263.570000000018"/>
    <n v="7.8844898940463384E-2"/>
    <n v="218956.08000000002"/>
  </r>
  <r>
    <n v="1062"/>
    <x v="250"/>
    <s v="David"/>
    <s v="East"/>
    <x v="442"/>
    <n v="25"/>
    <x v="1"/>
    <n v="2361.0500000000002"/>
    <n v="2616.19"/>
    <s v="New"/>
    <n v="0.3"/>
    <s v="Bank Transfer"/>
    <s v="Retail"/>
    <s v="East-David"/>
    <n v="6378.4999999999964"/>
    <n v="9.7523497911084389E-2"/>
    <n v="65404.75"/>
  </r>
  <r>
    <n v="1022"/>
    <x v="147"/>
    <s v="David"/>
    <s v="North"/>
    <x v="443"/>
    <n v="10"/>
    <x v="0"/>
    <n v="1830.61"/>
    <n v="2044.04"/>
    <s v="New"/>
    <n v="0.11"/>
    <s v="Cash"/>
    <s v="Online"/>
    <s v="North-David"/>
    <n v="2134.3000000000006"/>
    <n v="0.10441576485783059"/>
    <n v="20440.400000000001"/>
  </r>
  <r>
    <n v="1058"/>
    <x v="251"/>
    <s v="Eve"/>
    <s v="East"/>
    <x v="444"/>
    <n v="14"/>
    <x v="3"/>
    <n v="2703.97"/>
    <n v="2796.8799999999901"/>
    <s v="New"/>
    <n v="0.13"/>
    <s v="Bank Transfer"/>
    <s v="Online"/>
    <s v="East-Eve"/>
    <n v="1300.7399999998643"/>
    <n v="3.3219158490886497E-2"/>
    <n v="39156.319999999861"/>
  </r>
  <r>
    <n v="1058"/>
    <x v="252"/>
    <s v="David"/>
    <s v="West"/>
    <x v="445"/>
    <n v="42"/>
    <x v="2"/>
    <n v="3600.95"/>
    <n v="3702.8399999999901"/>
    <s v="Returning"/>
    <n v="0.01"/>
    <s v="Cash"/>
    <s v="Retail"/>
    <s v="West-David"/>
    <n v="4279.3799999995936"/>
    <n v="2.751671689837816E-2"/>
    <n v="155519.27999999959"/>
  </r>
  <r>
    <n v="1086"/>
    <x v="253"/>
    <s v="Bob"/>
    <s v="North"/>
    <x v="446"/>
    <n v="46"/>
    <x v="2"/>
    <n v="2245.64"/>
    <n v="2260.81"/>
    <s v="New"/>
    <n v="0"/>
    <s v="Cash"/>
    <s v="Retail"/>
    <s v="North-Bob"/>
    <n v="697.82000000000335"/>
    <n v="6.709984474590998E-3"/>
    <n v="103997.26"/>
  </r>
  <r>
    <n v="1049"/>
    <x v="138"/>
    <s v="Eve"/>
    <s v="South"/>
    <x v="447"/>
    <n v="30"/>
    <x v="2"/>
    <n v="4697.4399999999996"/>
    <n v="4752.24"/>
    <s v="New"/>
    <n v="0.28000000000000003"/>
    <s v="Credit Card"/>
    <s v="Online"/>
    <s v="South-Eve"/>
    <n v="1644.0000000000055"/>
    <n v="1.1531404137838196E-2"/>
    <n v="142567.19999999998"/>
  </r>
  <r>
    <n v="1052"/>
    <x v="9"/>
    <s v="David"/>
    <s v="West"/>
    <x v="448"/>
    <n v="41"/>
    <x v="3"/>
    <n v="1509.98"/>
    <n v="1792.83"/>
    <s v="New"/>
    <n v="0.04"/>
    <s v="Cash"/>
    <s v="Retail"/>
    <s v="West-David"/>
    <n v="11596.849999999997"/>
    <n v="0.15776732874840332"/>
    <n v="73506.03"/>
  </r>
  <r>
    <n v="1042"/>
    <x v="157"/>
    <s v="Eve"/>
    <s v="North"/>
    <x v="449"/>
    <n v="25"/>
    <x v="1"/>
    <n v="2403.54"/>
    <n v="2850.56"/>
    <s v="New"/>
    <n v="0.13"/>
    <s v="Bank Transfer"/>
    <s v="Online"/>
    <s v="North-Eve"/>
    <n v="11175.5"/>
    <n v="0.15681830938482264"/>
    <n v="71264"/>
  </r>
  <r>
    <n v="1070"/>
    <x v="165"/>
    <s v="Charlie"/>
    <s v="South"/>
    <x v="450"/>
    <n v="14"/>
    <x v="0"/>
    <n v="3796.79"/>
    <n v="3947.5"/>
    <s v="Returning"/>
    <n v="0.24"/>
    <s v="Bank Transfer"/>
    <s v="Online"/>
    <s v="South-Charlie"/>
    <n v="2109.9400000000005"/>
    <n v="3.8178594046865112E-2"/>
    <n v="55265"/>
  </r>
  <r>
    <n v="1015"/>
    <x v="91"/>
    <s v="Bob"/>
    <s v="East"/>
    <x v="451"/>
    <n v="35"/>
    <x v="2"/>
    <n v="3461.15"/>
    <n v="3631.75"/>
    <s v="Returning"/>
    <n v="0.27"/>
    <s v="Credit Card"/>
    <s v="Online"/>
    <s v="East-Bob"/>
    <n v="5970.9999999999964"/>
    <n v="4.6974599022509778E-2"/>
    <n v="127111.25"/>
  </r>
  <r>
    <n v="1054"/>
    <x v="87"/>
    <s v="David"/>
    <s v="South"/>
    <x v="452"/>
    <n v="48"/>
    <x v="3"/>
    <n v="4325.0200000000004"/>
    <n v="4391.67"/>
    <s v="Returning"/>
    <n v="0.16"/>
    <s v="Credit Card"/>
    <s v="Retail"/>
    <s v="South-David"/>
    <n v="3199.1999999999825"/>
    <n v="1.5176459069101193E-2"/>
    <n v="210800.16"/>
  </r>
  <r>
    <n v="1060"/>
    <x v="142"/>
    <s v="Charlie"/>
    <s v="West"/>
    <x v="453"/>
    <n v="34"/>
    <x v="3"/>
    <n v="4984.21"/>
    <n v="5184.6400000000003"/>
    <s v="New"/>
    <n v="0.17"/>
    <s v="Cash"/>
    <s v="Online"/>
    <s v="West-Charlie"/>
    <n v="6814.6200000000099"/>
    <n v="3.865842179977786E-2"/>
    <n v="176277.76000000001"/>
  </r>
  <r>
    <n v="1097"/>
    <x v="254"/>
    <s v="Charlie"/>
    <s v="East"/>
    <x v="454"/>
    <n v="10"/>
    <x v="0"/>
    <n v="2162.9499999999998"/>
    <n v="2191.1899999999901"/>
    <s v="Returning"/>
    <n v="0.2"/>
    <s v="Credit Card"/>
    <s v="Online"/>
    <s v="East-Charlie"/>
    <n v="282.39999999990232"/>
    <n v="1.2887974114517847E-2"/>
    <n v="21911.8999999999"/>
  </r>
  <r>
    <n v="1008"/>
    <x v="55"/>
    <s v="Eve"/>
    <s v="North"/>
    <x v="455"/>
    <n v="35"/>
    <x v="2"/>
    <n v="600.20000000000005"/>
    <n v="1059.82"/>
    <s v="Returning"/>
    <n v="0.28999999999999998"/>
    <s v="Bank Transfer"/>
    <s v="Retail"/>
    <s v="North-Eve"/>
    <n v="16086.699999999997"/>
    <n v="0.43367741691985429"/>
    <n v="37093.699999999997"/>
  </r>
  <r>
    <n v="1053"/>
    <x v="255"/>
    <s v="Charlie"/>
    <s v="East"/>
    <x v="456"/>
    <n v="11"/>
    <x v="3"/>
    <n v="200.56"/>
    <n v="540.38"/>
    <s v="New"/>
    <n v="0.18"/>
    <s v="Bank Transfer"/>
    <s v="Online"/>
    <s v="East-Charlie"/>
    <n v="3738.02"/>
    <n v="0.62885376956956207"/>
    <n v="5944.18"/>
  </r>
  <r>
    <n v="1060"/>
    <x v="105"/>
    <s v="Bob"/>
    <s v="North"/>
    <x v="457"/>
    <n v="11"/>
    <x v="0"/>
    <n v="3648.04"/>
    <n v="4143.51"/>
    <s v="Returning"/>
    <n v="0.17"/>
    <s v="Credit Card"/>
    <s v="Retail"/>
    <s v="North-Bob"/>
    <n v="5450.1700000000028"/>
    <n v="0.11957736315346174"/>
    <n v="45578.61"/>
  </r>
  <r>
    <n v="1005"/>
    <x v="256"/>
    <s v="Bob"/>
    <s v="North"/>
    <x v="458"/>
    <n v="21"/>
    <x v="1"/>
    <n v="4376.37"/>
    <n v="4818.95"/>
    <s v="New"/>
    <n v="0"/>
    <s v="Credit Card"/>
    <s v="Retail"/>
    <s v="North-Bob"/>
    <n v="9294.1799999999985"/>
    <n v="9.1841583747496847E-2"/>
    <n v="101197.95"/>
  </r>
  <r>
    <n v="1068"/>
    <x v="257"/>
    <s v="Alice"/>
    <s v="South"/>
    <x v="459"/>
    <n v="21"/>
    <x v="1"/>
    <n v="1142.53"/>
    <n v="1384.3"/>
    <s v="Returning"/>
    <n v="0.02"/>
    <s v="Credit Card"/>
    <s v="Retail"/>
    <s v="South-Alice"/>
    <n v="5077.17"/>
    <n v="0.17465144838546559"/>
    <n v="29070.3"/>
  </r>
  <r>
    <n v="1006"/>
    <x v="250"/>
    <s v="Bob"/>
    <s v="South"/>
    <x v="460"/>
    <n v="22"/>
    <x v="1"/>
    <n v="834.32"/>
    <n v="1098.97"/>
    <s v="Returning"/>
    <n v="0.17"/>
    <s v="Cash"/>
    <s v="Online"/>
    <s v="South-Bob"/>
    <n v="5822.2999999999993"/>
    <n v="0.24081640081166908"/>
    <n v="24177.34"/>
  </r>
  <r>
    <n v="1096"/>
    <x v="238"/>
    <s v="Charlie"/>
    <s v="South"/>
    <x v="461"/>
    <n v="45"/>
    <x v="2"/>
    <n v="357.92"/>
    <n v="461.3"/>
    <s v="Returning"/>
    <n v="0.28000000000000003"/>
    <s v="Cash"/>
    <s v="Online"/>
    <s v="South-Charlie"/>
    <n v="4652.0999999999995"/>
    <n v="0.22410578799046171"/>
    <n v="20758.5"/>
  </r>
  <r>
    <n v="1094"/>
    <x v="164"/>
    <s v="Bob"/>
    <s v="West"/>
    <x v="462"/>
    <n v="7"/>
    <x v="0"/>
    <n v="4122.38"/>
    <n v="4358.78"/>
    <s v="Returning"/>
    <n v="0.26"/>
    <s v="Bank Transfer"/>
    <s v="Retail"/>
    <s v="West-Bob"/>
    <n v="1654.7999999999975"/>
    <n v="5.4235359435438273E-2"/>
    <n v="30511.46"/>
  </r>
  <r>
    <n v="1047"/>
    <x v="1"/>
    <s v="Eve"/>
    <s v="West"/>
    <x v="463"/>
    <n v="17"/>
    <x v="0"/>
    <n v="1591.34"/>
    <n v="2043.82"/>
    <s v="New"/>
    <n v="0.28999999999999998"/>
    <s v="Cash"/>
    <s v="Retail"/>
    <s v="West-Eve"/>
    <n v="7692.16"/>
    <n v="0.22138935914121594"/>
    <n v="34744.94"/>
  </r>
  <r>
    <n v="1099"/>
    <x v="26"/>
    <s v="Alice"/>
    <s v="South"/>
    <x v="464"/>
    <n v="2"/>
    <x v="3"/>
    <n v="2038.4"/>
    <n v="2073.3200000000002"/>
    <s v="New"/>
    <n v="0.16"/>
    <s v="Cash"/>
    <s v="Retail"/>
    <s v="South-Alice"/>
    <n v="69.840000000000146"/>
    <n v="1.6842552042135354E-2"/>
    <n v="4146.6400000000003"/>
  </r>
  <r>
    <n v="1055"/>
    <x v="234"/>
    <s v="Charlie"/>
    <s v="West"/>
    <x v="465"/>
    <n v="12"/>
    <x v="3"/>
    <n v="2538.61"/>
    <n v="2971.75"/>
    <s v="Returning"/>
    <n v="0.24"/>
    <s v="Cash"/>
    <s v="Online"/>
    <s v="West-Charlie"/>
    <n v="5197.6799999999985"/>
    <n v="0.14575250273407919"/>
    <n v="35661"/>
  </r>
  <r>
    <n v="1040"/>
    <x v="83"/>
    <s v="Alice"/>
    <s v="East"/>
    <x v="466"/>
    <n v="42"/>
    <x v="3"/>
    <n v="4205.29"/>
    <n v="4382.3500000000004"/>
    <s v="New"/>
    <n v="0.25"/>
    <s v="Cash"/>
    <s v="Retail"/>
    <s v="East-Alice"/>
    <n v="7436.5200000000168"/>
    <n v="4.0402980136228367E-2"/>
    <n v="184058.7"/>
  </r>
  <r>
    <n v="1052"/>
    <x v="258"/>
    <s v="Charlie"/>
    <s v="East"/>
    <x v="467"/>
    <n v="18"/>
    <x v="0"/>
    <n v="3271.62"/>
    <n v="3722.38"/>
    <s v="Returning"/>
    <n v="0.19"/>
    <s v="Bank Transfer"/>
    <s v="Retail"/>
    <s v="East-Charlie"/>
    <n v="8113.6800000000039"/>
    <n v="0.12109456852873705"/>
    <n v="67002.84"/>
  </r>
  <r>
    <n v="1016"/>
    <x v="15"/>
    <s v="Eve"/>
    <s v="West"/>
    <x v="468"/>
    <n v="11"/>
    <x v="3"/>
    <n v="3094.57"/>
    <n v="3565.6"/>
    <s v="Returning"/>
    <n v="0.1"/>
    <s v="Credit Card"/>
    <s v="Retail"/>
    <s v="West-Eve"/>
    <n v="5181.3299999999972"/>
    <n v="0.13210399371774731"/>
    <n v="39221.599999999999"/>
  </r>
  <r>
    <n v="1013"/>
    <x v="259"/>
    <s v="Alice"/>
    <s v="West"/>
    <x v="469"/>
    <n v="16"/>
    <x v="0"/>
    <n v="919.58"/>
    <n v="1258.3"/>
    <s v="Returning"/>
    <n v="0.14000000000000001"/>
    <s v="Bank Transfer"/>
    <s v="Online"/>
    <s v="West-Alice"/>
    <n v="5419.5199999999986"/>
    <n v="0.26918858777715959"/>
    <n v="20132.8"/>
  </r>
  <r>
    <n v="1030"/>
    <x v="33"/>
    <s v="David"/>
    <s v="East"/>
    <x v="470"/>
    <n v="49"/>
    <x v="0"/>
    <n v="2590.29"/>
    <n v="2925.86"/>
    <s v="Returning"/>
    <n v="0.26"/>
    <s v="Cash"/>
    <s v="Retail"/>
    <s v="East-David"/>
    <n v="16442.930000000008"/>
    <n v="0.11469106519108915"/>
    <n v="143367.14000000001"/>
  </r>
  <r>
    <n v="1019"/>
    <x v="208"/>
    <s v="Charlie"/>
    <s v="North"/>
    <x v="471"/>
    <n v="18"/>
    <x v="1"/>
    <n v="3591.14"/>
    <n v="3822.99"/>
    <s v="Returning"/>
    <n v="0.09"/>
    <s v="Credit Card"/>
    <s v="Online"/>
    <s v="North-Charlie"/>
    <n v="4173.2999999999984"/>
    <n v="6.064624809376952E-2"/>
    <n v="68813.819999999992"/>
  </r>
  <r>
    <n v="1017"/>
    <x v="141"/>
    <s v="David"/>
    <s v="East"/>
    <x v="472"/>
    <n v="35"/>
    <x v="3"/>
    <n v="4867.6400000000003"/>
    <n v="5287.05"/>
    <s v="Returning"/>
    <n v="0.28000000000000003"/>
    <s v="Credit Card"/>
    <s v="Online"/>
    <s v="East-David"/>
    <n v="14679.349999999995"/>
    <n v="7.9327791490528723E-2"/>
    <n v="185046.75"/>
  </r>
  <r>
    <n v="1063"/>
    <x v="257"/>
    <s v="Alice"/>
    <s v="East"/>
    <x v="473"/>
    <n v="26"/>
    <x v="1"/>
    <n v="1046.96"/>
    <n v="1528.15"/>
    <s v="New"/>
    <n v="7.0000000000000007E-2"/>
    <s v="Credit Card"/>
    <s v="Retail"/>
    <s v="East-Alice"/>
    <n v="12510.940000000002"/>
    <n v="0.3148840100775448"/>
    <n v="39731.9"/>
  </r>
  <r>
    <n v="1019"/>
    <x v="169"/>
    <s v="David"/>
    <s v="West"/>
    <x v="474"/>
    <n v="16"/>
    <x v="2"/>
    <n v="97.24"/>
    <n v="487.03"/>
    <s v="New"/>
    <n v="0.22"/>
    <s v="Bank Transfer"/>
    <s v="Retail"/>
    <s v="West-David"/>
    <n v="6236.6399999999994"/>
    <n v="0.80034084142660611"/>
    <n v="7792.48"/>
  </r>
  <r>
    <n v="1092"/>
    <x v="181"/>
    <s v="David"/>
    <s v="East"/>
    <x v="475"/>
    <n v="6"/>
    <x v="2"/>
    <n v="422.74"/>
    <n v="737.49"/>
    <s v="Returning"/>
    <n v="0.19"/>
    <s v="Credit Card"/>
    <s v="Retail"/>
    <s v="East-David"/>
    <n v="1888.5"/>
    <n v="0.42678544793827711"/>
    <n v="4424.9400000000005"/>
  </r>
  <r>
    <n v="1058"/>
    <x v="13"/>
    <s v="Alice"/>
    <s v="West"/>
    <x v="476"/>
    <n v="44"/>
    <x v="2"/>
    <n v="1910.47"/>
    <n v="2217.8000000000002"/>
    <s v="New"/>
    <n v="0.22"/>
    <s v="Bank Transfer"/>
    <s v="Online"/>
    <s v="West-Alice"/>
    <n v="13522.520000000008"/>
    <n v="0.13857426278293811"/>
    <n v="97583.200000000012"/>
  </r>
  <r>
    <n v="1055"/>
    <x v="233"/>
    <s v="Eve"/>
    <s v="West"/>
    <x v="477"/>
    <n v="43"/>
    <x v="0"/>
    <n v="4111.7"/>
    <n v="4537.9399999999996"/>
    <s v="Returning"/>
    <n v="0.13"/>
    <s v="Bank Transfer"/>
    <s v="Online"/>
    <s v="West-Eve"/>
    <n v="18328.319999999992"/>
    <n v="9.3928081905005317E-2"/>
    <n v="195131.41999999998"/>
  </r>
  <r>
    <n v="1090"/>
    <x v="168"/>
    <s v="David"/>
    <s v="South"/>
    <x v="478"/>
    <n v="47"/>
    <x v="0"/>
    <n v="85.35"/>
    <n v="360.539999999999"/>
    <s v="New"/>
    <n v="0.28000000000000003"/>
    <s v="Cash"/>
    <s v="Online"/>
    <s v="South-David"/>
    <n v="12933.929999999955"/>
    <n v="0.76327175902812394"/>
    <n v="16945.379999999954"/>
  </r>
  <r>
    <n v="1090"/>
    <x v="260"/>
    <s v="David"/>
    <s v="East"/>
    <x v="479"/>
    <n v="47"/>
    <x v="0"/>
    <n v="2310.8200000000002"/>
    <n v="2714.71"/>
    <s v="New"/>
    <n v="0.19"/>
    <s v="Cash"/>
    <s v="Retail"/>
    <s v="East-David"/>
    <n v="18982.829999999994"/>
    <n v="0.14877832254642298"/>
    <n v="127591.37"/>
  </r>
  <r>
    <n v="1062"/>
    <x v="233"/>
    <s v="Eve"/>
    <s v="North"/>
    <x v="480"/>
    <n v="48"/>
    <x v="3"/>
    <n v="1679.69"/>
    <n v="1939.04"/>
    <s v="New"/>
    <n v="0.09"/>
    <s v="Credit Card"/>
    <s v="Online"/>
    <s v="North-Eve"/>
    <n v="12448.799999999996"/>
    <n v="0.13375175344500367"/>
    <n v="93073.919999999998"/>
  </r>
  <r>
    <n v="1023"/>
    <x v="87"/>
    <s v="David"/>
    <s v="South"/>
    <x v="481"/>
    <n v="42"/>
    <x v="1"/>
    <n v="309.77999999999997"/>
    <n v="350.38"/>
    <s v="Returning"/>
    <n v="0.19"/>
    <s v="Credit Card"/>
    <s v="Retail"/>
    <s v="South-David"/>
    <n v="1705.200000000001"/>
    <n v="0.11587419373251905"/>
    <n v="14715.96"/>
  </r>
  <r>
    <n v="1009"/>
    <x v="172"/>
    <s v="David"/>
    <s v="West"/>
    <x v="482"/>
    <n v="12"/>
    <x v="0"/>
    <n v="2278.67"/>
    <n v="2476.8000000000002"/>
    <s v="New"/>
    <n v="0.09"/>
    <s v="Cash"/>
    <s v="Retail"/>
    <s v="West-David"/>
    <n v="2377.5600000000013"/>
    <n v="7.9994347545219682E-2"/>
    <n v="29721.600000000002"/>
  </r>
  <r>
    <n v="1012"/>
    <x v="261"/>
    <s v="David"/>
    <s v="West"/>
    <x v="483"/>
    <n v="13"/>
    <x v="1"/>
    <n v="1311.01"/>
    <n v="1538.79"/>
    <s v="Returning"/>
    <n v="0.09"/>
    <s v="Bank Transfer"/>
    <s v="Retail"/>
    <s v="West-David"/>
    <n v="2961.1399999999994"/>
    <n v="0.14802539657783059"/>
    <n v="20004.27"/>
  </r>
  <r>
    <n v="1001"/>
    <x v="262"/>
    <s v="Bob"/>
    <s v="North"/>
    <x v="484"/>
    <n v="4"/>
    <x v="1"/>
    <n v="1791.83"/>
    <n v="1871.22"/>
    <s v="Returning"/>
    <n v="0.12"/>
    <s v="Bank Transfer"/>
    <s v="Online"/>
    <s v="North-Bob"/>
    <n v="317.5600000000004"/>
    <n v="4.2426865894977663E-2"/>
    <n v="7484.88"/>
  </r>
  <r>
    <n v="1058"/>
    <x v="263"/>
    <s v="Eve"/>
    <s v="West"/>
    <x v="485"/>
    <n v="39"/>
    <x v="1"/>
    <n v="3542.8"/>
    <n v="3603.02"/>
    <s v="Returning"/>
    <n v="0.26"/>
    <s v="Cash"/>
    <s v="Online"/>
    <s v="West-Eve"/>
    <n v="2348.5799999999922"/>
    <n v="1.6713756792912558E-2"/>
    <n v="140517.78"/>
  </r>
  <r>
    <n v="1001"/>
    <x v="106"/>
    <s v="David"/>
    <s v="East"/>
    <x v="486"/>
    <n v="2"/>
    <x v="3"/>
    <n v="2631.68"/>
    <n v="2904.06"/>
    <s v="New"/>
    <n v="0.15"/>
    <s v="Bank Transfer"/>
    <s v="Online"/>
    <s v="East-David"/>
    <n v="544.76000000000022"/>
    <n v="9.3792827971873896E-2"/>
    <n v="5808.12"/>
  </r>
  <r>
    <n v="1034"/>
    <x v="5"/>
    <s v="Eve"/>
    <s v="South"/>
    <x v="487"/>
    <n v="26"/>
    <x v="3"/>
    <n v="667"/>
    <n v="718.72"/>
    <s v="New"/>
    <n v="0.2"/>
    <s v="Cash"/>
    <s v="Retail"/>
    <s v="South-Eve"/>
    <n v="1344.7200000000007"/>
    <n v="7.196126447016922E-2"/>
    <n v="18686.72"/>
  </r>
  <r>
    <n v="1096"/>
    <x v="170"/>
    <s v="Charlie"/>
    <s v="West"/>
    <x v="488"/>
    <n v="27"/>
    <x v="2"/>
    <n v="4809"/>
    <n v="4967.4399999999996"/>
    <s v="New"/>
    <n v="0.12"/>
    <s v="Cash"/>
    <s v="Online"/>
    <s v="West-Charlie"/>
    <n v="4277.8799999999892"/>
    <n v="3.189570482985192E-2"/>
    <n v="134120.87999999998"/>
  </r>
  <r>
    <n v="1048"/>
    <x v="118"/>
    <s v="Charlie"/>
    <s v="West"/>
    <x v="489"/>
    <n v="27"/>
    <x v="2"/>
    <n v="3197.76"/>
    <n v="3572.61"/>
    <s v="Returning"/>
    <n v="0.08"/>
    <s v="Credit Card"/>
    <s v="Online"/>
    <s v="West-Charlie"/>
    <n v="10120.949999999997"/>
    <n v="0.10492329137521304"/>
    <n v="96460.47"/>
  </r>
  <r>
    <n v="1089"/>
    <x v="96"/>
    <s v="David"/>
    <s v="North"/>
    <x v="490"/>
    <n v="15"/>
    <x v="1"/>
    <n v="3841.05"/>
    <n v="4323.62"/>
    <s v="Returning"/>
    <n v="0.28999999999999998"/>
    <s v="Credit Card"/>
    <s v="Retail"/>
    <s v="North-David"/>
    <n v="7238.5499999999956"/>
    <n v="0.11161249138453419"/>
    <n v="64854.299999999996"/>
  </r>
  <r>
    <n v="1001"/>
    <x v="198"/>
    <s v="Eve"/>
    <s v="East"/>
    <x v="491"/>
    <n v="8"/>
    <x v="2"/>
    <n v="442.11"/>
    <n v="803.87"/>
    <s v="New"/>
    <n v="0.18"/>
    <s v="Cash"/>
    <s v="Retail"/>
    <s v="East-Eve"/>
    <n v="2894.08"/>
    <n v="0.45002301367136477"/>
    <n v="6430.96"/>
  </r>
  <r>
    <n v="1016"/>
    <x v="14"/>
    <s v="Eve"/>
    <s v="West"/>
    <x v="492"/>
    <n v="7"/>
    <x v="1"/>
    <n v="282.94"/>
    <n v="779.32999999999902"/>
    <s v="Returning"/>
    <n v="0.28000000000000003"/>
    <s v="Credit Card"/>
    <s v="Online"/>
    <s v="West-Eve"/>
    <n v="3474.7299999999932"/>
    <n v="0.63694455493821567"/>
    <n v="5455.3099999999931"/>
  </r>
  <r>
    <n v="1061"/>
    <x v="264"/>
    <s v="Eve"/>
    <s v="North"/>
    <x v="493"/>
    <n v="47"/>
    <x v="3"/>
    <n v="146.27000000000001"/>
    <n v="498.46"/>
    <s v="New"/>
    <n v="0.06"/>
    <s v="Cash"/>
    <s v="Retail"/>
    <s v="North-Eve"/>
    <n v="16552.929999999997"/>
    <n v="0.70655619307466988"/>
    <n v="23427.62"/>
  </r>
  <r>
    <n v="1064"/>
    <x v="72"/>
    <s v="Bob"/>
    <s v="West"/>
    <x v="494"/>
    <n v="46"/>
    <x v="3"/>
    <n v="984.53"/>
    <n v="1138.49"/>
    <s v="New"/>
    <n v="0.04"/>
    <s v="Bank Transfer"/>
    <s v="Online"/>
    <s v="West-Bob"/>
    <n v="7082.1600000000017"/>
    <n v="0.13523175434127663"/>
    <n v="52370.54"/>
  </r>
  <r>
    <n v="1063"/>
    <x v="265"/>
    <s v="Charlie"/>
    <s v="North"/>
    <x v="495"/>
    <n v="40"/>
    <x v="3"/>
    <n v="2101.3200000000002"/>
    <n v="2440.63"/>
    <s v="New"/>
    <n v="0.26"/>
    <s v="Bank Transfer"/>
    <s v="Retail"/>
    <s v="North-Charlie"/>
    <n v="13572.399999999998"/>
    <n v="0.13902557946104077"/>
    <n v="97625.200000000012"/>
  </r>
  <r>
    <n v="1069"/>
    <x v="266"/>
    <s v="Eve"/>
    <s v="North"/>
    <x v="496"/>
    <n v="12"/>
    <x v="0"/>
    <n v="4682.34"/>
    <n v="5036.3999999999996"/>
    <s v="New"/>
    <n v="0.2"/>
    <s v="Bank Transfer"/>
    <s v="Retail"/>
    <s v="North-Eve"/>
    <n v="4248.7199999999939"/>
    <n v="7.0300214438884817E-2"/>
    <n v="60436.799999999996"/>
  </r>
  <r>
    <n v="1022"/>
    <x v="267"/>
    <s v="Eve"/>
    <s v="East"/>
    <x v="497"/>
    <n v="13"/>
    <x v="1"/>
    <n v="2312.4499999999998"/>
    <n v="2504.6"/>
    <s v="Returning"/>
    <n v="0.06"/>
    <s v="Bank Transfer"/>
    <s v="Online"/>
    <s v="East-Eve"/>
    <n v="2497.9500000000012"/>
    <n v="7.6718837339295728E-2"/>
    <n v="32559.8"/>
  </r>
  <r>
    <n v="1093"/>
    <x v="51"/>
    <s v="Bob"/>
    <s v="West"/>
    <x v="498"/>
    <n v="43"/>
    <x v="3"/>
    <n v="1486.76"/>
    <n v="1505.44"/>
    <s v="New"/>
    <n v="0.08"/>
    <s v="Cash"/>
    <s v="Retail"/>
    <s v="West-Bob"/>
    <n v="803.24000000000274"/>
    <n v="1.240833244765654E-2"/>
    <n v="64733.920000000006"/>
  </r>
  <r>
    <n v="1067"/>
    <x v="6"/>
    <s v="Bob"/>
    <s v="East"/>
    <x v="499"/>
    <n v="17"/>
    <x v="1"/>
    <n v="2831.58"/>
    <n v="3186.15"/>
    <s v="New"/>
    <n v="0.24"/>
    <s v="Bank Transfer"/>
    <s v="Retail"/>
    <s v="East-Bob"/>
    <n v="6027.6900000000023"/>
    <n v="0.11128477943599646"/>
    <n v="54164.55"/>
  </r>
  <r>
    <n v="1076"/>
    <x v="268"/>
    <s v="Eve"/>
    <s v="North"/>
    <x v="500"/>
    <n v="17"/>
    <x v="2"/>
    <n v="604.08000000000004"/>
    <n v="624.71"/>
    <s v="New"/>
    <n v="0.14000000000000001"/>
    <s v="Bank Transfer"/>
    <s v="Retail"/>
    <s v="North-Eve"/>
    <n v="350.70999999999992"/>
    <n v="3.3023322821789304E-2"/>
    <n v="10620.07"/>
  </r>
  <r>
    <n v="1026"/>
    <x v="82"/>
    <s v="Alice"/>
    <s v="South"/>
    <x v="501"/>
    <n v="36"/>
    <x v="2"/>
    <n v="3067.05"/>
    <n v="3386.33"/>
    <s v="New"/>
    <n v="0.2"/>
    <s v="Bank Transfer"/>
    <s v="Online"/>
    <s v="South-Alice"/>
    <n v="11494.079999999991"/>
    <n v="9.4284963367421287E-2"/>
    <n v="121907.88"/>
  </r>
  <r>
    <n v="1016"/>
    <x v="172"/>
    <s v="Eve"/>
    <s v="West"/>
    <x v="502"/>
    <n v="21"/>
    <x v="3"/>
    <n v="2863.74"/>
    <n v="2953.91"/>
    <s v="New"/>
    <n v="0.1"/>
    <s v="Bank Transfer"/>
    <s v="Retail"/>
    <s v="West-Eve"/>
    <n v="1893.5700000000015"/>
    <n v="3.0525642284294399E-2"/>
    <n v="62032.11"/>
  </r>
  <r>
    <n v="1051"/>
    <x v="128"/>
    <s v="Eve"/>
    <s v="South"/>
    <x v="503"/>
    <n v="8"/>
    <x v="1"/>
    <n v="3970.37"/>
    <n v="4257.5199999999904"/>
    <s v="New"/>
    <n v="0.11"/>
    <s v="Cash"/>
    <s v="Retail"/>
    <s v="South-Eve"/>
    <n v="2297.1999999999243"/>
    <n v="6.7445367256053101E-2"/>
    <n v="34060.159999999923"/>
  </r>
  <r>
    <n v="1086"/>
    <x v="269"/>
    <s v="Bob"/>
    <s v="West"/>
    <x v="504"/>
    <n v="5"/>
    <x v="3"/>
    <n v="4934.1000000000004"/>
    <n v="5191.0200000000004"/>
    <s v="New"/>
    <n v="0.3"/>
    <s v="Bank Transfer"/>
    <s v="Online"/>
    <s v="West-Bob"/>
    <n v="1284.6000000000004"/>
    <n v="4.9493163193360855E-2"/>
    <n v="25955.100000000002"/>
  </r>
  <r>
    <n v="1057"/>
    <x v="27"/>
    <s v="Bob"/>
    <s v="East"/>
    <x v="505"/>
    <n v="26"/>
    <x v="2"/>
    <n v="1291.82"/>
    <n v="1308.4399999999901"/>
    <s v="Returning"/>
    <n v="7.0000000000000007E-2"/>
    <s v="Credit Card"/>
    <s v="Online"/>
    <s v="East-Bob"/>
    <n v="432.11999999974296"/>
    <n v="1.2702149124140381E-2"/>
    <n v="34019.43999999974"/>
  </r>
  <r>
    <n v="1029"/>
    <x v="131"/>
    <s v="Eve"/>
    <s v="East"/>
    <x v="506"/>
    <n v="16"/>
    <x v="3"/>
    <n v="2572.8000000000002"/>
    <n v="2760.6"/>
    <s v="Returning"/>
    <n v="0.15"/>
    <s v="Credit Card"/>
    <s v="Retail"/>
    <s v="East-Eve"/>
    <n v="3004.7999999999956"/>
    <n v="6.8028689415344387E-2"/>
    <n v="44169.599999999999"/>
  </r>
  <r>
    <n v="1078"/>
    <x v="267"/>
    <s v="Eve"/>
    <s v="East"/>
    <x v="507"/>
    <n v="36"/>
    <x v="1"/>
    <n v="4548.88"/>
    <n v="4853.41"/>
    <s v="Returning"/>
    <n v="0.25"/>
    <s v="Credit Card"/>
    <s v="Retail"/>
    <s v="East-Eve"/>
    <n v="10963.079999999991"/>
    <n v="6.2745574760838196E-2"/>
    <n v="174722.76"/>
  </r>
  <r>
    <n v="1092"/>
    <x v="24"/>
    <s v="Eve"/>
    <s v="East"/>
    <x v="508"/>
    <n v="28"/>
    <x v="2"/>
    <n v="3936.69"/>
    <n v="4362.51"/>
    <s v="Returning"/>
    <n v="7.0000000000000007E-2"/>
    <s v="Credit Card"/>
    <s v="Retail"/>
    <s v="East-Eve"/>
    <n v="11922.960000000005"/>
    <n v="9.7608945309007933E-2"/>
    <n v="122150.28"/>
  </r>
  <r>
    <n v="1069"/>
    <x v="270"/>
    <s v="Bob"/>
    <s v="East"/>
    <x v="509"/>
    <n v="29"/>
    <x v="0"/>
    <n v="2462.66"/>
    <n v="2908.0899999999901"/>
    <s v="New"/>
    <n v="0.12"/>
    <s v="Credit Card"/>
    <s v="Online"/>
    <s v="East-Bob"/>
    <n v="12917.469999999717"/>
    <n v="0.15316926229930702"/>
    <n v="84334.60999999971"/>
  </r>
  <r>
    <n v="1047"/>
    <x v="133"/>
    <s v="Eve"/>
    <s v="South"/>
    <x v="510"/>
    <n v="47"/>
    <x v="2"/>
    <n v="4729.59"/>
    <n v="4976.68"/>
    <s v="Returning"/>
    <n v="0.18"/>
    <s v="Credit Card"/>
    <s v="Retail"/>
    <s v="South-Eve"/>
    <n v="11613.230000000007"/>
    <n v="4.9649565573836395E-2"/>
    <n v="233903.96000000002"/>
  </r>
  <r>
    <n v="1094"/>
    <x v="100"/>
    <s v="Eve"/>
    <s v="East"/>
    <x v="511"/>
    <n v="12"/>
    <x v="0"/>
    <n v="333.32"/>
    <n v="700.25"/>
    <s v="Returning"/>
    <n v="0.14000000000000001"/>
    <s v="Cash"/>
    <s v="Online"/>
    <s v="East-Eve"/>
    <n v="4403.16"/>
    <n v="0.52399857193859334"/>
    <n v="8403"/>
  </r>
  <r>
    <n v="1062"/>
    <x v="2"/>
    <s v="David"/>
    <s v="North"/>
    <x v="512"/>
    <n v="37"/>
    <x v="3"/>
    <n v="4658.4399999999996"/>
    <n v="4823.5"/>
    <s v="Returning"/>
    <n v="0.14000000000000001"/>
    <s v="Credit Card"/>
    <s v="Online"/>
    <s v="North-David"/>
    <n v="6107.2200000000148"/>
    <n v="3.4219964755882744E-2"/>
    <n v="178469.5"/>
  </r>
  <r>
    <n v="1069"/>
    <x v="165"/>
    <s v="Alice"/>
    <s v="North"/>
    <x v="513"/>
    <n v="30"/>
    <x v="3"/>
    <n v="300.01"/>
    <n v="477.67999999999898"/>
    <s v="New"/>
    <n v="0.11"/>
    <s v="Bank Transfer"/>
    <s v="Retail"/>
    <s v="North-Alice"/>
    <n v="5330.0999999999694"/>
    <n v="0.37194356054262134"/>
    <n v="14330.399999999969"/>
  </r>
  <r>
    <n v="1076"/>
    <x v="228"/>
    <s v="Charlie"/>
    <s v="South"/>
    <x v="514"/>
    <n v="23"/>
    <x v="1"/>
    <n v="2759.16"/>
    <n v="2864.45"/>
    <s v="Returning"/>
    <n v="0.18"/>
    <s v="Credit Card"/>
    <s v="Retail"/>
    <s v="South-Charlie"/>
    <n v="2421.6699999999992"/>
    <n v="3.6757492712388061E-2"/>
    <n v="65882.349999999991"/>
  </r>
  <r>
    <n v="1016"/>
    <x v="186"/>
    <s v="Alice"/>
    <s v="West"/>
    <x v="515"/>
    <n v="16"/>
    <x v="0"/>
    <n v="4457.68"/>
    <n v="4743.03"/>
    <s v="Returning"/>
    <n v="0.19"/>
    <s v="Cash"/>
    <s v="Online"/>
    <s v="West-Alice"/>
    <n v="4565.5999999999913"/>
    <n v="6.0161963976613997E-2"/>
    <n v="75888.479999999996"/>
  </r>
  <r>
    <n v="1090"/>
    <x v="18"/>
    <s v="David"/>
    <s v="North"/>
    <x v="516"/>
    <n v="14"/>
    <x v="3"/>
    <n v="1350.47"/>
    <n v="1514.61"/>
    <s v="New"/>
    <n v="0.2"/>
    <s v="Credit Card"/>
    <s v="Retail"/>
    <s v="North-David"/>
    <n v="2297.9599999999982"/>
    <n v="0.10837113184252045"/>
    <n v="21204.539999999997"/>
  </r>
  <r>
    <n v="1090"/>
    <x v="144"/>
    <s v="Charlie"/>
    <s v="West"/>
    <x v="517"/>
    <n v="10"/>
    <x v="0"/>
    <n v="2387.63"/>
    <n v="2438.9699999999998"/>
    <s v="Returning"/>
    <n v="0.02"/>
    <s v="Bank Transfer"/>
    <s v="Retail"/>
    <s v="West-Charlie"/>
    <n v="513.39999999999691"/>
    <n v="2.1049869412087766E-2"/>
    <n v="24389.699999999997"/>
  </r>
  <r>
    <n v="1048"/>
    <x v="170"/>
    <s v="Eve"/>
    <s v="South"/>
    <x v="518"/>
    <n v="7"/>
    <x v="3"/>
    <n v="1655.43"/>
    <n v="2001.08"/>
    <s v="New"/>
    <n v="0.19"/>
    <s v="Bank Transfer"/>
    <s v="Online"/>
    <s v="South-Eve"/>
    <n v="2419.5499999999993"/>
    <n v="0.17273172486857091"/>
    <n v="14007.56"/>
  </r>
  <r>
    <n v="1085"/>
    <x v="103"/>
    <s v="David"/>
    <s v="West"/>
    <x v="519"/>
    <n v="45"/>
    <x v="2"/>
    <n v="4763.1099999999997"/>
    <n v="5119.91"/>
    <s v="Returning"/>
    <n v="0.28999999999999998"/>
    <s v="Cash"/>
    <s v="Retail"/>
    <s v="West-David"/>
    <n v="16056.000000000007"/>
    <n v="6.9688724997119131E-2"/>
    <n v="230395.94999999998"/>
  </r>
  <r>
    <n v="1039"/>
    <x v="245"/>
    <s v="Eve"/>
    <s v="West"/>
    <x v="520"/>
    <n v="37"/>
    <x v="3"/>
    <n v="4127.05"/>
    <n v="4313.45"/>
    <s v="New"/>
    <n v="0.16"/>
    <s v="Cash"/>
    <s v="Online"/>
    <s v="West-Eve"/>
    <n v="6896.7999999999865"/>
    <n v="4.3213668872943846E-2"/>
    <n v="159597.65"/>
  </r>
  <r>
    <n v="1100"/>
    <x v="114"/>
    <s v="Bob"/>
    <s v="West"/>
    <x v="521"/>
    <n v="29"/>
    <x v="1"/>
    <n v="3559.56"/>
    <n v="3607.15"/>
    <s v="Returning"/>
    <n v="0.21"/>
    <s v="Cash"/>
    <s v="Retail"/>
    <s v="West-Bob"/>
    <n v="1380.1100000000042"/>
    <n v="1.3193241201502611E-2"/>
    <n v="104607.35"/>
  </r>
  <r>
    <n v="1033"/>
    <x v="229"/>
    <s v="David"/>
    <s v="West"/>
    <x v="522"/>
    <n v="3"/>
    <x v="2"/>
    <n v="2958.75"/>
    <n v="3177.64"/>
    <s v="Returning"/>
    <n v="0.17"/>
    <s v="Cash"/>
    <s v="Online"/>
    <s v="West-David"/>
    <n v="656.66999999999962"/>
    <n v="6.8884455130222386E-2"/>
    <n v="9532.92"/>
  </r>
  <r>
    <n v="1094"/>
    <x v="13"/>
    <s v="Bob"/>
    <s v="South"/>
    <x v="523"/>
    <n v="15"/>
    <x v="1"/>
    <n v="4111.93"/>
    <n v="4338.67"/>
    <s v="Returning"/>
    <n v="0.26"/>
    <s v="Credit Card"/>
    <s v="Online"/>
    <s v="South-Bob"/>
    <n v="3401.0999999999967"/>
    <n v="5.2260254870732221E-2"/>
    <n v="65080.05"/>
  </r>
  <r>
    <n v="1023"/>
    <x v="45"/>
    <s v="David"/>
    <s v="North"/>
    <x v="524"/>
    <n v="36"/>
    <x v="2"/>
    <n v="1991.72"/>
    <n v="2329.37"/>
    <s v="New"/>
    <n v="0.28000000000000003"/>
    <s v="Credit Card"/>
    <s v="Retail"/>
    <s v="North-David"/>
    <n v="12155.399999999994"/>
    <n v="0.14495335648694707"/>
    <n v="83857.319999999992"/>
  </r>
  <r>
    <n v="1010"/>
    <x v="57"/>
    <s v="David"/>
    <s v="East"/>
    <x v="525"/>
    <n v="47"/>
    <x v="0"/>
    <n v="2265.38"/>
    <n v="2429.9299999999998"/>
    <s v="Returning"/>
    <n v="0.06"/>
    <s v="Bank Transfer"/>
    <s v="Online"/>
    <s v="East-David"/>
    <n v="7733.8499999999876"/>
    <n v="6.7718000106998869E-2"/>
    <n v="114206.70999999999"/>
  </r>
  <r>
    <n v="1069"/>
    <x v="108"/>
    <s v="Bob"/>
    <s v="West"/>
    <x v="526"/>
    <n v="46"/>
    <x v="1"/>
    <n v="3663.51"/>
    <n v="4007.98"/>
    <s v="New"/>
    <n v="0.13"/>
    <s v="Cash"/>
    <s v="Online"/>
    <s v="West-Bob"/>
    <n v="15845.619999999992"/>
    <n v="8.5946037654878474E-2"/>
    <n v="184367.08"/>
  </r>
  <r>
    <n v="1100"/>
    <x v="199"/>
    <s v="Charlie"/>
    <s v="North"/>
    <x v="527"/>
    <n v="19"/>
    <x v="3"/>
    <n v="1820.89"/>
    <n v="2257.92"/>
    <s v="New"/>
    <n v="0.12"/>
    <s v="Cash"/>
    <s v="Retail"/>
    <s v="North-Charlie"/>
    <n v="8303.57"/>
    <n v="0.19355424461451246"/>
    <n v="42900.480000000003"/>
  </r>
  <r>
    <n v="1034"/>
    <x v="271"/>
    <s v="Alice"/>
    <s v="North"/>
    <x v="528"/>
    <n v="13"/>
    <x v="0"/>
    <n v="366.31"/>
    <n v="492.68"/>
    <s v="New"/>
    <n v="0.12"/>
    <s v="Credit Card"/>
    <s v="Retail"/>
    <s v="North-Alice"/>
    <n v="1642.81"/>
    <n v="0.25649508808963223"/>
    <n v="6404.84"/>
  </r>
  <r>
    <n v="1052"/>
    <x v="272"/>
    <s v="Eve"/>
    <s v="South"/>
    <x v="529"/>
    <n v="42"/>
    <x v="3"/>
    <n v="417.96"/>
    <n v="907.63"/>
    <s v="New"/>
    <n v="0.04"/>
    <s v="Cash"/>
    <s v="Retail"/>
    <s v="South-Eve"/>
    <n v="20566.14"/>
    <n v="0.53950398290052115"/>
    <n v="38120.46"/>
  </r>
  <r>
    <n v="1095"/>
    <x v="9"/>
    <s v="David"/>
    <s v="North"/>
    <x v="530"/>
    <n v="21"/>
    <x v="2"/>
    <n v="621.04999999999995"/>
    <n v="820.36999999999898"/>
    <s v="Returning"/>
    <n v="0.24"/>
    <s v="Bank Transfer"/>
    <s v="Online"/>
    <s v="North-David"/>
    <n v="4185.7199999999793"/>
    <n v="0.24296354084132679"/>
    <n v="17227.769999999979"/>
  </r>
  <r>
    <n v="1010"/>
    <x v="126"/>
    <s v="Eve"/>
    <s v="South"/>
    <x v="531"/>
    <n v="37"/>
    <x v="2"/>
    <n v="4354.92"/>
    <n v="4495.88"/>
    <s v="Returning"/>
    <n v="0.01"/>
    <s v="Bank Transfer"/>
    <s v="Online"/>
    <s v="South-Eve"/>
    <n v="5215.5200000000013"/>
    <n v="3.135314999510664E-2"/>
    <n v="166347.56"/>
  </r>
  <r>
    <n v="1019"/>
    <x v="259"/>
    <s v="Bob"/>
    <s v="West"/>
    <x v="532"/>
    <n v="27"/>
    <x v="3"/>
    <n v="2387.52"/>
    <n v="2604.06"/>
    <s v="Returning"/>
    <n v="0.16"/>
    <s v="Cash"/>
    <s v="Online"/>
    <s v="West-Bob"/>
    <n v="5846.579999999999"/>
    <n v="8.3154766019216134E-2"/>
    <n v="70309.62"/>
  </r>
  <r>
    <n v="1058"/>
    <x v="93"/>
    <s v="Eve"/>
    <s v="West"/>
    <x v="533"/>
    <n v="29"/>
    <x v="3"/>
    <n v="3578.77"/>
    <n v="3635.02"/>
    <s v="New"/>
    <n v="0.2"/>
    <s v="Bank Transfer"/>
    <s v="Retail"/>
    <s v="West-Eve"/>
    <n v="1631.25"/>
    <n v="1.547446781585796E-2"/>
    <n v="105415.58"/>
  </r>
  <r>
    <n v="1096"/>
    <x v="38"/>
    <s v="Bob"/>
    <s v="East"/>
    <x v="534"/>
    <n v="20"/>
    <x v="0"/>
    <n v="1994.9"/>
    <n v="2066.5"/>
    <s v="Returning"/>
    <n v="0.06"/>
    <s v="Bank Transfer"/>
    <s v="Online"/>
    <s v="East-Bob"/>
    <n v="1431.9999999999982"/>
    <n v="3.4647955480280622E-2"/>
    <n v="41330"/>
  </r>
  <r>
    <n v="1001"/>
    <x v="167"/>
    <s v="Eve"/>
    <s v="East"/>
    <x v="535"/>
    <n v="25"/>
    <x v="3"/>
    <n v="1330.62"/>
    <n v="1543.6899999999901"/>
    <s v="New"/>
    <n v="0.27"/>
    <s v="Credit Card"/>
    <s v="Online"/>
    <s v="East-Eve"/>
    <n v="5326.7499999997544"/>
    <n v="0.1380264172210687"/>
    <n v="38592.249999999753"/>
  </r>
  <r>
    <n v="1069"/>
    <x v="212"/>
    <s v="Alice"/>
    <s v="East"/>
    <x v="536"/>
    <n v="6"/>
    <x v="1"/>
    <n v="1768.6"/>
    <n v="2152.1999999999998"/>
    <s v="New"/>
    <n v="0.25"/>
    <s v="Bank Transfer"/>
    <s v="Retail"/>
    <s v="East-Alice"/>
    <n v="2301.5999999999995"/>
    <n v="0.1782362233993123"/>
    <n v="12913.199999999999"/>
  </r>
  <r>
    <n v="1004"/>
    <x v="28"/>
    <s v="Alice"/>
    <s v="North"/>
    <x v="537"/>
    <n v="36"/>
    <x v="1"/>
    <n v="3981.2"/>
    <n v="4432.3499999999904"/>
    <s v="New"/>
    <n v="0.14000000000000001"/>
    <s v="Cash"/>
    <s v="Online"/>
    <s v="North-Alice"/>
    <n v="16241.399999999659"/>
    <n v="0.10178573442981523"/>
    <n v="159564.59999999966"/>
  </r>
  <r>
    <n v="1016"/>
    <x v="273"/>
    <s v="Alice"/>
    <s v="West"/>
    <x v="538"/>
    <n v="2"/>
    <x v="3"/>
    <n v="3144.82"/>
    <n v="3480.58"/>
    <s v="Returning"/>
    <n v="0.12"/>
    <s v="Cash"/>
    <s v="Retail"/>
    <s v="West-Alice"/>
    <n v="671.51999999999953"/>
    <n v="9.6466680840549504E-2"/>
    <n v="6961.16"/>
  </r>
  <r>
    <n v="1024"/>
    <x v="90"/>
    <s v="Alice"/>
    <s v="South"/>
    <x v="539"/>
    <n v="22"/>
    <x v="1"/>
    <n v="4691.32"/>
    <n v="4752.88"/>
    <s v="Returning"/>
    <n v="7.0000000000000007E-2"/>
    <s v="Bank Transfer"/>
    <s v="Retail"/>
    <s v="South-Alice"/>
    <n v="1354.3200000000088"/>
    <n v="1.2952146908821682E-2"/>
    <n v="104563.36"/>
  </r>
  <r>
    <n v="1080"/>
    <x v="12"/>
    <s v="Alice"/>
    <s v="East"/>
    <x v="540"/>
    <n v="32"/>
    <x v="3"/>
    <n v="3414.54"/>
    <n v="3753.83"/>
    <s v="New"/>
    <n v="0.22"/>
    <s v="Cash"/>
    <s v="Retail"/>
    <s v="East-Alice"/>
    <n v="10857.279999999999"/>
    <n v="9.0385020099471733E-2"/>
    <n v="120122.56"/>
  </r>
  <r>
    <n v="1002"/>
    <x v="186"/>
    <s v="Alice"/>
    <s v="South"/>
    <x v="541"/>
    <n v="16"/>
    <x v="0"/>
    <n v="2872.4"/>
    <n v="3193.76"/>
    <s v="Returning"/>
    <n v="0.04"/>
    <s v="Credit Card"/>
    <s v="Online"/>
    <s v="South-Alice"/>
    <n v="5141.760000000002"/>
    <n v="0.10062121136215624"/>
    <n v="51100.160000000003"/>
  </r>
  <r>
    <n v="1092"/>
    <x v="218"/>
    <s v="Bob"/>
    <s v="South"/>
    <x v="542"/>
    <n v="18"/>
    <x v="1"/>
    <n v="3070.47"/>
    <n v="3475.29"/>
    <s v="Returning"/>
    <n v="0.2"/>
    <s v="Bank Transfer"/>
    <s v="Online"/>
    <s v="South-Bob"/>
    <n v="7286.7600000000029"/>
    <n v="0.11648524295814167"/>
    <n v="62555.22"/>
  </r>
  <r>
    <n v="1032"/>
    <x v="34"/>
    <s v="David"/>
    <s v="East"/>
    <x v="543"/>
    <n v="5"/>
    <x v="1"/>
    <n v="4714.74"/>
    <n v="5129.1099999999997"/>
    <s v="New"/>
    <n v="0.25"/>
    <s v="Bank Transfer"/>
    <s v="Online"/>
    <s v="East-David"/>
    <n v="2071.8499999999995"/>
    <n v="8.0787894975931474E-2"/>
    <n v="25645.55"/>
  </r>
  <r>
    <n v="1091"/>
    <x v="274"/>
    <s v="Eve"/>
    <s v="West"/>
    <x v="544"/>
    <n v="36"/>
    <x v="3"/>
    <n v="3951.59"/>
    <n v="4387.01"/>
    <s v="New"/>
    <n v="7.0000000000000007E-2"/>
    <s v="Bank Transfer"/>
    <s v="Retail"/>
    <s v="West-Eve"/>
    <n v="15675.120000000003"/>
    <n v="9.9252110207179833E-2"/>
    <n v="157932.36000000002"/>
  </r>
  <r>
    <n v="1084"/>
    <x v="80"/>
    <s v="Alice"/>
    <s v="East"/>
    <x v="545"/>
    <n v="30"/>
    <x v="1"/>
    <n v="169"/>
    <n v="381.91999999999899"/>
    <s v="Returning"/>
    <n v="0.26"/>
    <s v="Cash"/>
    <s v="Retail"/>
    <s v="East-Alice"/>
    <n v="6387.5999999999694"/>
    <n v="0.55749895266024185"/>
    <n v="11457.599999999969"/>
  </r>
  <r>
    <n v="1024"/>
    <x v="107"/>
    <s v="Bob"/>
    <s v="South"/>
    <x v="546"/>
    <n v="45"/>
    <x v="2"/>
    <n v="2693.99"/>
    <n v="3045.9399999999901"/>
    <s v="New"/>
    <n v="0.01"/>
    <s v="Cash"/>
    <s v="Retail"/>
    <s v="South-Bob"/>
    <n v="15837.749999999562"/>
    <n v="0.11554725306473253"/>
    <n v="137067.29999999955"/>
  </r>
  <r>
    <n v="1012"/>
    <x v="130"/>
    <s v="Bob"/>
    <s v="East"/>
    <x v="547"/>
    <n v="19"/>
    <x v="0"/>
    <n v="3457.28"/>
    <n v="3598.72"/>
    <s v="New"/>
    <n v="0.27"/>
    <s v="Bank Transfer"/>
    <s v="Online"/>
    <s v="East-Bob"/>
    <n v="2687.3599999999924"/>
    <n v="3.9302863240263095E-2"/>
    <n v="68375.679999999993"/>
  </r>
  <r>
    <n v="1050"/>
    <x v="26"/>
    <s v="Bob"/>
    <s v="South"/>
    <x v="548"/>
    <n v="23"/>
    <x v="0"/>
    <n v="3756.06"/>
    <n v="4255.7299999999996"/>
    <s v="Returning"/>
    <n v="0.04"/>
    <s v="Cash"/>
    <s v="Online"/>
    <s v="South-Bob"/>
    <n v="11492.409999999991"/>
    <n v="0.11741111395694737"/>
    <n v="97881.79"/>
  </r>
  <r>
    <n v="1035"/>
    <x v="264"/>
    <s v="David"/>
    <s v="South"/>
    <x v="549"/>
    <n v="34"/>
    <x v="1"/>
    <n v="1105.05"/>
    <n v="1200.96"/>
    <s v="Returning"/>
    <n v="0.19"/>
    <s v="Cash"/>
    <s v="Online"/>
    <s v="South-David"/>
    <n v="3260.9400000000028"/>
    <n v="7.9861111111111174E-2"/>
    <n v="40832.639999999999"/>
  </r>
  <r>
    <n v="1033"/>
    <x v="217"/>
    <s v="Eve"/>
    <s v="East"/>
    <x v="550"/>
    <n v="13"/>
    <x v="1"/>
    <n v="4342.53"/>
    <n v="4357.49"/>
    <s v="New"/>
    <n v="0.08"/>
    <s v="Bank Transfer"/>
    <s v="Online"/>
    <s v="East-Eve"/>
    <n v="194.48000000000047"/>
    <n v="3.4331690950524358E-3"/>
    <n v="56647.369999999995"/>
  </r>
  <r>
    <n v="1033"/>
    <x v="275"/>
    <s v="David"/>
    <s v="North"/>
    <x v="551"/>
    <n v="43"/>
    <x v="2"/>
    <n v="4781.42"/>
    <n v="4864.34"/>
    <s v="Returning"/>
    <n v="0.25"/>
    <s v="Bank Transfer"/>
    <s v="Online"/>
    <s v="North-David"/>
    <n v="3565.5600000000031"/>
    <n v="1.7046505795236366E-2"/>
    <n v="209166.62"/>
  </r>
  <r>
    <n v="1061"/>
    <x v="238"/>
    <s v="Charlie"/>
    <s v="East"/>
    <x v="552"/>
    <n v="29"/>
    <x v="2"/>
    <n v="1221.74"/>
    <n v="1611.92"/>
    <s v="New"/>
    <n v="0.15"/>
    <s v="Cash"/>
    <s v="Retail"/>
    <s v="East-Charlie"/>
    <n v="11315.220000000001"/>
    <n v="0.24205915926348703"/>
    <n v="46745.68"/>
  </r>
  <r>
    <n v="1051"/>
    <x v="198"/>
    <s v="Bob"/>
    <s v="North"/>
    <x v="553"/>
    <n v="36"/>
    <x v="1"/>
    <n v="4418.95"/>
    <n v="4647.87"/>
    <s v="New"/>
    <n v="0.04"/>
    <s v="Bank Transfer"/>
    <s v="Online"/>
    <s v="North-Bob"/>
    <n v="8241.1200000000026"/>
    <n v="4.9252668426612634E-2"/>
    <n v="167323.32"/>
  </r>
  <r>
    <n v="1043"/>
    <x v="62"/>
    <s v="Charlie"/>
    <s v="South"/>
    <x v="554"/>
    <n v="22"/>
    <x v="1"/>
    <n v="530.04"/>
    <n v="759.31999999999903"/>
    <s v="Returning"/>
    <n v="0.17"/>
    <s v="Bank Transfer"/>
    <s v="Retail"/>
    <s v="South-Charlie"/>
    <n v="5044.1599999999798"/>
    <n v="0.30195438023494625"/>
    <n v="16705.039999999979"/>
  </r>
  <r>
    <n v="1012"/>
    <x v="151"/>
    <s v="Alice"/>
    <s v="South"/>
    <x v="555"/>
    <n v="47"/>
    <x v="2"/>
    <n v="325.75"/>
    <n v="803.71"/>
    <s v="New"/>
    <n v="0.12"/>
    <s v="Bank Transfer"/>
    <s v="Retail"/>
    <s v="South-Alice"/>
    <n v="22464.120000000003"/>
    <n v="0.5946921153152257"/>
    <n v="37774.370000000003"/>
  </r>
  <r>
    <n v="1067"/>
    <x v="276"/>
    <s v="Alice"/>
    <s v="North"/>
    <x v="556"/>
    <n v="36"/>
    <x v="3"/>
    <n v="689.66"/>
    <n v="1150.28"/>
    <s v="New"/>
    <n v="0.2"/>
    <s v="Bank Transfer"/>
    <s v="Online"/>
    <s v="North-Alice"/>
    <n v="16582.32"/>
    <n v="0.40044163160274016"/>
    <n v="41410.080000000002"/>
  </r>
  <r>
    <n v="1065"/>
    <x v="174"/>
    <s v="David"/>
    <s v="South"/>
    <x v="557"/>
    <n v="9"/>
    <x v="2"/>
    <n v="335.82"/>
    <n v="498.31"/>
    <s v="New"/>
    <n v="0.26"/>
    <s v="Cash"/>
    <s v="Retail"/>
    <s v="South-David"/>
    <n v="1462.41"/>
    <n v="0.32608215769300236"/>
    <n v="4484.79"/>
  </r>
  <r>
    <n v="1033"/>
    <x v="118"/>
    <s v="Eve"/>
    <s v="North"/>
    <x v="558"/>
    <n v="39"/>
    <x v="3"/>
    <n v="4232.8100000000004"/>
    <n v="4345.25"/>
    <s v="Returning"/>
    <n v="0.12"/>
    <s v="Bank Transfer"/>
    <s v="Online"/>
    <s v="North-Eve"/>
    <n v="4385.1599999999844"/>
    <n v="2.587653184511814E-2"/>
    <n v="169464.75"/>
  </r>
  <r>
    <n v="1040"/>
    <x v="120"/>
    <s v="Charlie"/>
    <s v="North"/>
    <x v="559"/>
    <n v="19"/>
    <x v="0"/>
    <n v="342.3"/>
    <n v="768.06"/>
    <s v="Returning"/>
    <n v="0.09"/>
    <s v="Credit Card"/>
    <s v="Online"/>
    <s v="North-Charlie"/>
    <n v="8089.4399999999987"/>
    <n v="0.55433169283649708"/>
    <n v="14593.14"/>
  </r>
  <r>
    <n v="1074"/>
    <x v="21"/>
    <s v="Eve"/>
    <s v="South"/>
    <x v="560"/>
    <n v="38"/>
    <x v="0"/>
    <n v="1394.74"/>
    <n v="1848.69"/>
    <s v="Returning"/>
    <n v="0"/>
    <s v="Bank Transfer"/>
    <s v="Retail"/>
    <s v="South-Eve"/>
    <n v="17250.100000000002"/>
    <n v="0.24555225592176083"/>
    <n v="70250.22"/>
  </r>
  <r>
    <n v="1043"/>
    <x v="89"/>
    <s v="David"/>
    <s v="West"/>
    <x v="561"/>
    <n v="6"/>
    <x v="2"/>
    <n v="563.59"/>
    <n v="838.97"/>
    <s v="New"/>
    <n v="0.17"/>
    <s v="Credit Card"/>
    <s v="Online"/>
    <s v="West-David"/>
    <n v="1652.28"/>
    <n v="0.32823581296113091"/>
    <n v="5033.82"/>
  </r>
  <r>
    <n v="1044"/>
    <x v="150"/>
    <s v="Alice"/>
    <s v="North"/>
    <x v="562"/>
    <n v="47"/>
    <x v="3"/>
    <n v="1512.34"/>
    <n v="1830.76"/>
    <s v="New"/>
    <n v="0.12"/>
    <s v="Bank Transfer"/>
    <s v="Online"/>
    <s v="North-Alice"/>
    <n v="14965.740000000003"/>
    <n v="0.17392776770303048"/>
    <n v="86045.72"/>
  </r>
  <r>
    <n v="1029"/>
    <x v="67"/>
    <s v="Eve"/>
    <s v="East"/>
    <x v="563"/>
    <n v="15"/>
    <x v="2"/>
    <n v="498.27"/>
    <n v="634.16"/>
    <s v="Returning"/>
    <n v="0.11"/>
    <s v="Credit Card"/>
    <s v="Retail"/>
    <s v="East-Eve"/>
    <n v="2038.35"/>
    <n v="0.21428346158698119"/>
    <n v="9512.4"/>
  </r>
  <r>
    <n v="1013"/>
    <x v="271"/>
    <s v="Eve"/>
    <s v="East"/>
    <x v="564"/>
    <n v="20"/>
    <x v="2"/>
    <n v="3356.62"/>
    <n v="3759.0099999999902"/>
    <s v="Returning"/>
    <n v="0.05"/>
    <s v="Credit Card"/>
    <s v="Retail"/>
    <s v="East-Eve"/>
    <n v="8047.7999999998065"/>
    <n v="0.10704680221653876"/>
    <n v="75180.199999999808"/>
  </r>
  <r>
    <n v="1012"/>
    <x v="264"/>
    <s v="Alice"/>
    <s v="South"/>
    <x v="565"/>
    <n v="9"/>
    <x v="3"/>
    <n v="709.97"/>
    <n v="1029.71"/>
    <s v="Returning"/>
    <n v="0.13"/>
    <s v="Bank Transfer"/>
    <s v="Retail"/>
    <s v="South-Alice"/>
    <n v="2877.66"/>
    <n v="0.31051461090986782"/>
    <n v="9267.39"/>
  </r>
  <r>
    <n v="1095"/>
    <x v="27"/>
    <s v="Charlie"/>
    <s v="West"/>
    <x v="566"/>
    <n v="32"/>
    <x v="2"/>
    <n v="4266.6400000000003"/>
    <n v="4523.3599999999997"/>
    <s v="New"/>
    <n v="0.3"/>
    <s v="Bank Transfer"/>
    <s v="Retail"/>
    <s v="West-Charlie"/>
    <n v="8215.039999999979"/>
    <n v="5.6754271161260514E-2"/>
    <n v="144747.51999999999"/>
  </r>
  <r>
    <n v="1046"/>
    <x v="257"/>
    <s v="Alice"/>
    <s v="South"/>
    <x v="567"/>
    <n v="4"/>
    <x v="0"/>
    <n v="4095.1"/>
    <n v="4134.55"/>
    <s v="Returning"/>
    <n v="0.09"/>
    <s v="Bank Transfer"/>
    <s v="Retail"/>
    <s v="South-Alice"/>
    <n v="157.80000000000109"/>
    <n v="9.5415462384056959E-3"/>
    <n v="16538.2"/>
  </r>
  <r>
    <n v="1002"/>
    <x v="277"/>
    <s v="Eve"/>
    <s v="West"/>
    <x v="568"/>
    <n v="18"/>
    <x v="1"/>
    <n v="117.63"/>
    <n v="576.44000000000005"/>
    <s v="New"/>
    <n v="0.18"/>
    <s v="Credit Card"/>
    <s v="Retail"/>
    <s v="West-Eve"/>
    <n v="8258.5800000000017"/>
    <n v="0.79593713135799049"/>
    <n v="10375.920000000002"/>
  </r>
  <r>
    <n v="1035"/>
    <x v="0"/>
    <s v="Charlie"/>
    <s v="North"/>
    <x v="569"/>
    <n v="5"/>
    <x v="1"/>
    <n v="4483.8500000000004"/>
    <n v="4795.42"/>
    <s v="Returning"/>
    <n v="0.23"/>
    <s v="Cash"/>
    <s v="Online"/>
    <s v="North-Charlie"/>
    <n v="1557.8499999999985"/>
    <n v="6.4972411175663394E-2"/>
    <n v="23977.1"/>
  </r>
  <r>
    <n v="1087"/>
    <x v="175"/>
    <s v="Charlie"/>
    <s v="North"/>
    <x v="570"/>
    <n v="20"/>
    <x v="2"/>
    <n v="193.27"/>
    <n v="297.69"/>
    <s v="New"/>
    <n v="0.22"/>
    <s v="Cash"/>
    <s v="Online"/>
    <s v="North-Charlie"/>
    <n v="2088.3999999999996"/>
    <n v="0.35076757700964084"/>
    <n v="5953.8"/>
  </r>
  <r>
    <n v="1081"/>
    <x v="29"/>
    <s v="Alice"/>
    <s v="North"/>
    <x v="571"/>
    <n v="23"/>
    <x v="3"/>
    <n v="1236.25"/>
    <n v="1543.38"/>
    <s v="New"/>
    <n v="0.1"/>
    <s v="Bank Transfer"/>
    <s v="Online"/>
    <s v="North-Alice"/>
    <n v="7063.9900000000025"/>
    <n v="0.19899830242714048"/>
    <n v="35497.740000000005"/>
  </r>
  <r>
    <n v="1090"/>
    <x v="278"/>
    <s v="Eve"/>
    <s v="North"/>
    <x v="572"/>
    <n v="11"/>
    <x v="3"/>
    <n v="210.33"/>
    <n v="552.29"/>
    <s v="Returning"/>
    <n v="0.18"/>
    <s v="Cash"/>
    <s v="Retail"/>
    <s v="North-Eve"/>
    <n v="3761.559999999999"/>
    <n v="0.61916746636730691"/>
    <n v="6075.19"/>
  </r>
  <r>
    <n v="1008"/>
    <x v="149"/>
    <s v="David"/>
    <s v="East"/>
    <x v="573"/>
    <n v="37"/>
    <x v="0"/>
    <n v="1712.43"/>
    <n v="1980.06"/>
    <s v="New"/>
    <n v="0.26"/>
    <s v="Cash"/>
    <s v="Online"/>
    <s v="East-David"/>
    <n v="9902.3099999999959"/>
    <n v="0.13516257083118688"/>
    <n v="73262.22"/>
  </r>
  <r>
    <n v="1093"/>
    <x v="279"/>
    <s v="Eve"/>
    <s v="East"/>
    <x v="574"/>
    <n v="22"/>
    <x v="3"/>
    <n v="2593.64"/>
    <n v="2955.5099999999902"/>
    <s v="Returning"/>
    <n v="0"/>
    <s v="Bank Transfer"/>
    <s v="Retail"/>
    <s v="East-Eve"/>
    <n v="7961.1399999997875"/>
    <n v="0.12243910526440159"/>
    <n v="65021.219999999783"/>
  </r>
  <r>
    <n v="1026"/>
    <x v="209"/>
    <s v="Bob"/>
    <s v="South"/>
    <x v="575"/>
    <n v="4"/>
    <x v="3"/>
    <n v="3993.39"/>
    <n v="4288.3"/>
    <s v="New"/>
    <n v="0.13"/>
    <s v="Credit Card"/>
    <s v="Online"/>
    <s v="South-Bob"/>
    <n v="1179.6400000000012"/>
    <n v="6.8770841592239423E-2"/>
    <n v="17153.2"/>
  </r>
  <r>
    <n v="1074"/>
    <x v="257"/>
    <s v="David"/>
    <s v="West"/>
    <x v="576"/>
    <n v="29"/>
    <x v="0"/>
    <n v="1723.01"/>
    <n v="2197.42"/>
    <s v="New"/>
    <n v="7.0000000000000007E-2"/>
    <s v="Bank Transfer"/>
    <s v="Retail"/>
    <s v="West-David"/>
    <n v="13757.890000000003"/>
    <n v="0.21589409398294368"/>
    <n v="63725.18"/>
  </r>
  <r>
    <n v="1090"/>
    <x v="118"/>
    <s v="Charlie"/>
    <s v="North"/>
    <x v="577"/>
    <n v="44"/>
    <x v="2"/>
    <n v="3542.18"/>
    <n v="3578.49"/>
    <s v="Returning"/>
    <n v="0.12"/>
    <s v="Cash"/>
    <s v="Online"/>
    <s v="North-Charlie"/>
    <n v="1597.6399999999976"/>
    <n v="1.0146737869883651E-2"/>
    <n v="157453.56"/>
  </r>
  <r>
    <n v="1034"/>
    <x v="146"/>
    <s v="David"/>
    <s v="North"/>
    <x v="578"/>
    <n v="34"/>
    <x v="1"/>
    <n v="978.15"/>
    <n v="1040.21"/>
    <s v="New"/>
    <n v="0.12"/>
    <s v="Credit Card"/>
    <s v="Retail"/>
    <s v="North-David"/>
    <n v="2110.0400000000018"/>
    <n v="5.9661029984330136E-2"/>
    <n v="35367.14"/>
  </r>
  <r>
    <n v="1007"/>
    <x v="157"/>
    <s v="Charlie"/>
    <s v="West"/>
    <x v="579"/>
    <n v="13"/>
    <x v="0"/>
    <n v="3765.46"/>
    <n v="3860.56"/>
    <s v="Returning"/>
    <n v="0.22"/>
    <s v="Cash"/>
    <s v="Retail"/>
    <s v="West-Charlie"/>
    <n v="1236.2999999999988"/>
    <n v="2.463373189381849E-2"/>
    <n v="50187.28"/>
  </r>
  <r>
    <n v="1068"/>
    <x v="24"/>
    <s v="Charlie"/>
    <s v="West"/>
    <x v="580"/>
    <n v="42"/>
    <x v="2"/>
    <n v="1218.18"/>
    <n v="1566.36"/>
    <s v="Returning"/>
    <n v="0.03"/>
    <s v="Credit Card"/>
    <s v="Retail"/>
    <s v="West-Charlie"/>
    <n v="14623.559999999994"/>
    <n v="0.22228606450624369"/>
    <n v="65787.12"/>
  </r>
  <r>
    <n v="1058"/>
    <x v="280"/>
    <s v="David"/>
    <s v="South"/>
    <x v="581"/>
    <n v="9"/>
    <x v="0"/>
    <n v="760.55"/>
    <n v="1086.8899999999901"/>
    <s v="Returning"/>
    <n v="0.15"/>
    <s v="Cash"/>
    <s v="Retail"/>
    <s v="South-David"/>
    <n v="2937.0599999999113"/>
    <n v="0.30025117537192642"/>
    <n v="9782.0099999999111"/>
  </r>
  <r>
    <n v="1075"/>
    <x v="3"/>
    <s v="Charlie"/>
    <s v="West"/>
    <x v="582"/>
    <n v="42"/>
    <x v="2"/>
    <n v="967.77"/>
    <n v="1414.88"/>
    <s v="New"/>
    <n v="0.17"/>
    <s v="Bank Transfer"/>
    <s v="Online"/>
    <s v="West-Charlie"/>
    <n v="18778.620000000006"/>
    <n v="0.31600559764785713"/>
    <n v="59424.960000000006"/>
  </r>
  <r>
    <n v="1029"/>
    <x v="281"/>
    <s v="Charlie"/>
    <s v="North"/>
    <x v="583"/>
    <n v="31"/>
    <x v="0"/>
    <n v="951.21"/>
    <n v="1320.32"/>
    <s v="New"/>
    <n v="0.15"/>
    <s v="Cash"/>
    <s v="Online"/>
    <s v="North-Charlie"/>
    <n v="11442.409999999996"/>
    <n v="0.27956101551139112"/>
    <n v="40929.919999999998"/>
  </r>
  <r>
    <n v="1036"/>
    <x v="282"/>
    <s v="Bob"/>
    <s v="North"/>
    <x v="17"/>
    <n v="7"/>
    <x v="2"/>
    <n v="2588.67"/>
    <n v="2847.76"/>
    <s v="New"/>
    <n v="0.22"/>
    <s v="Cash"/>
    <s v="Retail"/>
    <s v="North-Bob"/>
    <n v="1813.630000000001"/>
    <n v="9.0980279237014405E-2"/>
    <n v="19934.32"/>
  </r>
  <r>
    <n v="1089"/>
    <x v="3"/>
    <s v="Eve"/>
    <s v="North"/>
    <x v="584"/>
    <n v="4"/>
    <x v="0"/>
    <n v="4231.75"/>
    <n v="4727.75"/>
    <s v="Returning"/>
    <n v="0.12"/>
    <s v="Credit Card"/>
    <s v="Retail"/>
    <s v="North-Eve"/>
    <n v="1984"/>
    <n v="0.10491248479720798"/>
    <n v="18911"/>
  </r>
  <r>
    <n v="1021"/>
    <x v="208"/>
    <s v="Eve"/>
    <s v="North"/>
    <x v="585"/>
    <n v="19"/>
    <x v="2"/>
    <n v="444.05"/>
    <n v="584.44000000000005"/>
    <s v="Returning"/>
    <n v="0.28000000000000003"/>
    <s v="Cash"/>
    <s v="Retail"/>
    <s v="North-Eve"/>
    <n v="2667.4100000000008"/>
    <n v="0.24021285332968317"/>
    <n v="11104.36"/>
  </r>
  <r>
    <n v="1036"/>
    <x v="199"/>
    <s v="Bob"/>
    <s v="North"/>
    <x v="586"/>
    <n v="42"/>
    <x v="0"/>
    <n v="3549.43"/>
    <n v="3967.6899999999901"/>
    <s v="New"/>
    <n v="0.14000000000000001"/>
    <s v="Bank Transfer"/>
    <s v="Online"/>
    <s v="North-Bob"/>
    <n v="17566.919999999591"/>
    <n v="0.10541650179323267"/>
    <n v="166642.97999999957"/>
  </r>
  <r>
    <n v="1010"/>
    <x v="197"/>
    <s v="David"/>
    <s v="South"/>
    <x v="587"/>
    <n v="30"/>
    <x v="1"/>
    <n v="3289.01"/>
    <n v="3508.14"/>
    <s v="New"/>
    <n v="0.17"/>
    <s v="Bank Transfer"/>
    <s v="Retail"/>
    <s v="South-David"/>
    <n v="6573.8999999999896"/>
    <n v="6.2463299640265112E-2"/>
    <n v="105244.2"/>
  </r>
  <r>
    <n v="1073"/>
    <x v="283"/>
    <s v="Alice"/>
    <s v="North"/>
    <x v="588"/>
    <n v="31"/>
    <x v="1"/>
    <n v="4368.97"/>
    <n v="4696.8500000000004"/>
    <s v="Returning"/>
    <n v="0.25"/>
    <s v="Bank Transfer"/>
    <s v="Retail"/>
    <s v="North-Alice"/>
    <n v="10164.280000000002"/>
    <n v="6.9808488667937041E-2"/>
    <n v="145602.35"/>
  </r>
  <r>
    <n v="1024"/>
    <x v="284"/>
    <s v="Alice"/>
    <s v="South"/>
    <x v="589"/>
    <n v="35"/>
    <x v="3"/>
    <n v="1258.53"/>
    <n v="1624.8899999999901"/>
    <s v="New"/>
    <n v="0.08"/>
    <s v="Credit Card"/>
    <s v="Online"/>
    <s v="South-Alice"/>
    <n v="12822.599999999655"/>
    <n v="0.22546757011243368"/>
    <n v="56871.149999999652"/>
  </r>
  <r>
    <n v="1064"/>
    <x v="177"/>
    <s v="Alice"/>
    <s v="North"/>
    <x v="590"/>
    <n v="21"/>
    <x v="2"/>
    <n v="2278.04"/>
    <n v="2598.58"/>
    <s v="Returning"/>
    <n v="0.02"/>
    <s v="Credit Card"/>
    <s v="Retail"/>
    <s v="North-Alice"/>
    <n v="6731.3399999999992"/>
    <n v="0.12335198454540555"/>
    <n v="54570.18"/>
  </r>
  <r>
    <n v="1099"/>
    <x v="285"/>
    <s v="Bob"/>
    <s v="East"/>
    <x v="591"/>
    <n v="31"/>
    <x v="0"/>
    <n v="4632.8500000000004"/>
    <n v="4711.7"/>
    <s v="New"/>
    <n v="0.21"/>
    <s v="Cash"/>
    <s v="Retail"/>
    <s v="East-Bob"/>
    <n v="2444.3499999999831"/>
    <n v="1.6734936434832325E-2"/>
    <n v="146062.69999999998"/>
  </r>
  <r>
    <n v="1049"/>
    <x v="60"/>
    <s v="Bob"/>
    <s v="East"/>
    <x v="592"/>
    <n v="19"/>
    <x v="2"/>
    <n v="3316.97"/>
    <n v="3544.02"/>
    <s v="Returning"/>
    <n v="0.14000000000000001"/>
    <s v="Cash"/>
    <s v="Online"/>
    <s v="East-Bob"/>
    <n v="4313.9500000000035"/>
    <n v="6.4065665543648218E-2"/>
    <n v="67336.38"/>
  </r>
  <r>
    <n v="1099"/>
    <x v="189"/>
    <s v="Charlie"/>
    <s v="East"/>
    <x v="593"/>
    <n v="31"/>
    <x v="1"/>
    <n v="1974.4"/>
    <n v="2259.5"/>
    <s v="New"/>
    <n v="0.27"/>
    <s v="Cash"/>
    <s v="Retail"/>
    <s v="East-Charlie"/>
    <n v="8838.0999999999967"/>
    <n v="0.12617835804381497"/>
    <n v="70044.5"/>
  </r>
  <r>
    <n v="1036"/>
    <x v="50"/>
    <s v="Alice"/>
    <s v="East"/>
    <x v="594"/>
    <n v="32"/>
    <x v="2"/>
    <n v="700.49"/>
    <n v="1126.52"/>
    <s v="New"/>
    <n v="0.28999999999999998"/>
    <s v="Credit Card"/>
    <s v="Retail"/>
    <s v="East-Alice"/>
    <n v="13632.96"/>
    <n v="0.37818236693534069"/>
    <n v="36048.639999999999"/>
  </r>
  <r>
    <n v="1082"/>
    <x v="239"/>
    <s v="David"/>
    <s v="South"/>
    <x v="595"/>
    <n v="2"/>
    <x v="0"/>
    <n v="1349.3"/>
    <n v="1576.69"/>
    <s v="Returning"/>
    <n v="0.12"/>
    <s v="Credit Card"/>
    <s v="Online"/>
    <s v="South-David"/>
    <n v="454.7800000000002"/>
    <n v="0.14421985298314829"/>
    <n v="3153.38"/>
  </r>
  <r>
    <n v="1096"/>
    <x v="62"/>
    <s v="David"/>
    <s v="South"/>
    <x v="596"/>
    <n v="10"/>
    <x v="2"/>
    <n v="2927.02"/>
    <n v="3387.21"/>
    <s v="Returning"/>
    <n v="0.12"/>
    <s v="Cash"/>
    <s v="Retail"/>
    <s v="South-David"/>
    <n v="4601.9000000000005"/>
    <n v="0.13586107740588865"/>
    <n v="33872.1"/>
  </r>
  <r>
    <n v="1024"/>
    <x v="115"/>
    <s v="Alice"/>
    <s v="West"/>
    <x v="597"/>
    <n v="2"/>
    <x v="0"/>
    <n v="3604.93"/>
    <n v="3830.71"/>
    <s v="Returning"/>
    <n v="0.12"/>
    <s v="Credit Card"/>
    <s v="Online"/>
    <s v="West-Alice"/>
    <n v="451.5600000000004"/>
    <n v="5.8939465529888768E-2"/>
    <n v="7661.42"/>
  </r>
  <r>
    <n v="1023"/>
    <x v="251"/>
    <s v="Alice"/>
    <s v="North"/>
    <x v="598"/>
    <n v="2"/>
    <x v="1"/>
    <n v="665.89"/>
    <n v="944.79"/>
    <s v="New"/>
    <n v="0.1"/>
    <s v="Credit Card"/>
    <s v="Retail"/>
    <s v="North-Alice"/>
    <n v="557.79999999999995"/>
    <n v="0.29519787465997732"/>
    <n v="1889.58"/>
  </r>
  <r>
    <n v="1062"/>
    <x v="260"/>
    <s v="Alice"/>
    <s v="East"/>
    <x v="599"/>
    <n v="24"/>
    <x v="1"/>
    <n v="3018.01"/>
    <n v="3418.19"/>
    <s v="Returning"/>
    <n v="0.23"/>
    <s v="Bank Transfer"/>
    <s v="Retail"/>
    <s v="East-Alice"/>
    <n v="9604.3199999999961"/>
    <n v="0.11707365594071711"/>
    <n v="82036.56"/>
  </r>
  <r>
    <n v="1096"/>
    <x v="82"/>
    <s v="Bob"/>
    <s v="South"/>
    <x v="600"/>
    <n v="17"/>
    <x v="1"/>
    <n v="2774.24"/>
    <n v="3069.9399999999901"/>
    <s v="Returning"/>
    <n v="0.23"/>
    <s v="Bank Transfer"/>
    <s v="Retail"/>
    <s v="South-Bob"/>
    <n v="5026.8999999998341"/>
    <n v="9.6321100738122306E-2"/>
    <n v="52188.979999999829"/>
  </r>
  <r>
    <n v="1037"/>
    <x v="176"/>
    <s v="Bob"/>
    <s v="North"/>
    <x v="601"/>
    <n v="32"/>
    <x v="3"/>
    <n v="2594.08"/>
    <n v="3074.59"/>
    <s v="New"/>
    <n v="0.14000000000000001"/>
    <s v="Cash"/>
    <s v="Retail"/>
    <s v="North-Bob"/>
    <n v="15376.320000000007"/>
    <n v="0.15628425253448433"/>
    <n v="98386.880000000005"/>
  </r>
  <r>
    <n v="1012"/>
    <x v="56"/>
    <s v="Bob"/>
    <s v="North"/>
    <x v="602"/>
    <n v="16"/>
    <x v="1"/>
    <n v="3466.11"/>
    <n v="3799.67"/>
    <s v="Returning"/>
    <n v="0.01"/>
    <s v="Cash"/>
    <s v="Retail"/>
    <s v="North-Bob"/>
    <n v="5336.9599999999991"/>
    <n v="8.7786570939055217E-2"/>
    <n v="60794.720000000001"/>
  </r>
  <r>
    <n v="1055"/>
    <x v="255"/>
    <s v="Eve"/>
    <s v="South"/>
    <x v="603"/>
    <n v="16"/>
    <x v="2"/>
    <n v="4195.38"/>
    <n v="4461.51"/>
    <s v="Returning"/>
    <n v="0.09"/>
    <s v="Bank Transfer"/>
    <s v="Online"/>
    <s v="South-Eve"/>
    <n v="4258.0800000000017"/>
    <n v="5.9650208113396608E-2"/>
    <n v="71384.160000000003"/>
  </r>
  <r>
    <n v="1013"/>
    <x v="62"/>
    <s v="David"/>
    <s v="East"/>
    <x v="604"/>
    <n v="46"/>
    <x v="3"/>
    <n v="1648.8"/>
    <n v="1670.36"/>
    <s v="Returning"/>
    <n v="0.09"/>
    <s v="Credit Card"/>
    <s v="Retail"/>
    <s v="East-David"/>
    <n v="991.75999999999749"/>
    <n v="1.290739720778751E-2"/>
    <n v="76836.56"/>
  </r>
  <r>
    <n v="1023"/>
    <x v="263"/>
    <s v="David"/>
    <s v="West"/>
    <x v="605"/>
    <n v="39"/>
    <x v="1"/>
    <n v="4450.6099999999997"/>
    <n v="4663.3399999999901"/>
    <s v="New"/>
    <n v="0.24"/>
    <s v="Cash"/>
    <s v="Retail"/>
    <s v="West-David"/>
    <n v="8296.4699999996283"/>
    <n v="4.5617518774095589E-2"/>
    <n v="181870.2599999996"/>
  </r>
  <r>
    <n v="1089"/>
    <x v="18"/>
    <s v="Charlie"/>
    <s v="North"/>
    <x v="606"/>
    <n v="31"/>
    <x v="2"/>
    <n v="845.14"/>
    <n v="1001.77"/>
    <s v="New"/>
    <n v="0.03"/>
    <s v="Cash"/>
    <s v="Online"/>
    <s v="North-Charlie"/>
    <n v="4855.53"/>
    <n v="0.15635325473911177"/>
    <n v="31054.87"/>
  </r>
  <r>
    <n v="1099"/>
    <x v="105"/>
    <s v="Bob"/>
    <s v="West"/>
    <x v="607"/>
    <n v="43"/>
    <x v="2"/>
    <n v="906.47"/>
    <n v="1283.04"/>
    <s v="New"/>
    <n v="0.24"/>
    <s v="Cash"/>
    <s v="Online"/>
    <s v="West-Bob"/>
    <n v="16192.509999999997"/>
    <n v="0.29349825414640224"/>
    <n v="55170.720000000001"/>
  </r>
  <r>
    <n v="1030"/>
    <x v="78"/>
    <s v="Eve"/>
    <s v="East"/>
    <x v="608"/>
    <n v="24"/>
    <x v="2"/>
    <n v="1370.52"/>
    <n v="1482.58"/>
    <s v="Returning"/>
    <n v="0.2"/>
    <s v="Credit Card"/>
    <s v="Retail"/>
    <s v="East-Eve"/>
    <n v="2689.4399999999987"/>
    <n v="7.5584454127264597E-2"/>
    <n v="35581.919999999998"/>
  </r>
  <r>
    <n v="1017"/>
    <x v="146"/>
    <s v="Eve"/>
    <s v="East"/>
    <x v="609"/>
    <n v="1"/>
    <x v="0"/>
    <n v="641.67999999999995"/>
    <n v="752.24"/>
    <s v="New"/>
    <n v="0.22"/>
    <s v="Bank Transfer"/>
    <s v="Online"/>
    <s v="East-Eve"/>
    <n v="110.56000000000006"/>
    <n v="0.14697436988195264"/>
    <n v="752.24"/>
  </r>
  <r>
    <n v="1062"/>
    <x v="176"/>
    <s v="David"/>
    <s v="West"/>
    <x v="610"/>
    <n v="11"/>
    <x v="3"/>
    <n v="1190.08"/>
    <n v="1292.9399999999901"/>
    <s v="Returning"/>
    <n v="0.13"/>
    <s v="Cash"/>
    <s v="Retail"/>
    <s v="West-David"/>
    <n v="1131.4599999998914"/>
    <n v="7.9555122434135317E-2"/>
    <n v="14222.339999999891"/>
  </r>
  <r>
    <n v="1084"/>
    <x v="142"/>
    <s v="Bob"/>
    <s v="East"/>
    <x v="611"/>
    <n v="21"/>
    <x v="2"/>
    <n v="576.74"/>
    <n v="648.29"/>
    <s v="Returning"/>
    <n v="0.2"/>
    <s v="Bank Transfer"/>
    <s v="Online"/>
    <s v="East-Bob"/>
    <n v="1502.549999999999"/>
    <n v="0.11036727390519668"/>
    <n v="13614.09"/>
  </r>
  <r>
    <n v="1089"/>
    <x v="42"/>
    <s v="Charlie"/>
    <s v="North"/>
    <x v="612"/>
    <n v="4"/>
    <x v="0"/>
    <n v="4117.67"/>
    <n v="4280.0600000000004"/>
    <s v="Returning"/>
    <n v="0.18"/>
    <s v="Bank Transfer"/>
    <s v="Online"/>
    <s v="North-Charlie"/>
    <n v="649.56000000000131"/>
    <n v="3.7941056901071551E-2"/>
    <n v="17120.240000000002"/>
  </r>
  <r>
    <n v="1086"/>
    <x v="65"/>
    <s v="Bob"/>
    <s v="West"/>
    <x v="613"/>
    <n v="7"/>
    <x v="1"/>
    <n v="737.9"/>
    <n v="1182"/>
    <s v="New"/>
    <n v="0.23"/>
    <s v="Credit Card"/>
    <s v="Retail"/>
    <s v="West-Bob"/>
    <n v="3108.7000000000003"/>
    <n v="0.37571912013536385"/>
    <n v="8274"/>
  </r>
  <r>
    <n v="1013"/>
    <x v="11"/>
    <s v="Alice"/>
    <s v="East"/>
    <x v="614"/>
    <n v="26"/>
    <x v="2"/>
    <n v="3749.12"/>
    <n v="4138.83"/>
    <s v="New"/>
    <n v="0.13"/>
    <s v="Credit Card"/>
    <s v="Online"/>
    <s v="East-Alice"/>
    <n v="10132.460000000001"/>
    <n v="9.4159460523867866E-2"/>
    <n v="107609.58"/>
  </r>
  <r>
    <n v="1059"/>
    <x v="115"/>
    <s v="Bob"/>
    <s v="West"/>
    <x v="615"/>
    <n v="47"/>
    <x v="0"/>
    <n v="287.17"/>
    <n v="657.44"/>
    <s v="Returning"/>
    <n v="0.14000000000000001"/>
    <s v="Credit Card"/>
    <s v="Retail"/>
    <s v="West-Bob"/>
    <n v="17402.690000000002"/>
    <n v="0.56319968362131911"/>
    <n v="30899.680000000004"/>
  </r>
  <r>
    <n v="1019"/>
    <x v="272"/>
    <s v="Alice"/>
    <s v="North"/>
    <x v="616"/>
    <n v="12"/>
    <x v="2"/>
    <n v="4745.18"/>
    <n v="5145.88"/>
    <s v="Returning"/>
    <n v="0.19"/>
    <s v="Credit Card"/>
    <s v="Online"/>
    <s v="North-Alice"/>
    <n v="4808.3999999999978"/>
    <n v="7.7868119738509226E-2"/>
    <n v="61750.559999999998"/>
  </r>
  <r>
    <n v="1049"/>
    <x v="286"/>
    <s v="Alice"/>
    <s v="East"/>
    <x v="617"/>
    <n v="31"/>
    <x v="3"/>
    <n v="3570.24"/>
    <n v="3712.25"/>
    <s v="New"/>
    <n v="0.03"/>
    <s v="Credit Card"/>
    <s v="Online"/>
    <s v="East-Alice"/>
    <n v="4402.3100000000068"/>
    <n v="3.8254427907603264E-2"/>
    <n v="115079.75"/>
  </r>
  <r>
    <n v="1100"/>
    <x v="287"/>
    <s v="Charlie"/>
    <s v="North"/>
    <x v="618"/>
    <n v="17"/>
    <x v="3"/>
    <n v="83.64"/>
    <n v="528.49"/>
    <s v="New"/>
    <n v="0.13"/>
    <s v="Credit Card"/>
    <s v="Online"/>
    <s v="North-Charlie"/>
    <n v="7562.4500000000007"/>
    <n v="0.84173778122575649"/>
    <n v="8984.33"/>
  </r>
  <r>
    <n v="1012"/>
    <x v="229"/>
    <s v="David"/>
    <s v="East"/>
    <x v="619"/>
    <n v="33"/>
    <x v="1"/>
    <n v="3831.09"/>
    <n v="3908.37"/>
    <s v="New"/>
    <n v="0.28999999999999998"/>
    <s v="Cash"/>
    <s v="Retail"/>
    <s v="East-David"/>
    <n v="2550.2399999999916"/>
    <n v="1.9772948825213518E-2"/>
    <n v="128976.20999999999"/>
  </r>
  <r>
    <n v="1061"/>
    <x v="288"/>
    <s v="Bob"/>
    <s v="South"/>
    <x v="620"/>
    <n v="11"/>
    <x v="2"/>
    <n v="2594.71"/>
    <n v="2769.52"/>
    <s v="Returning"/>
    <n v="0.01"/>
    <s v="Bank Transfer"/>
    <s v="Retail"/>
    <s v="South-Bob"/>
    <n v="1922.9099999999994"/>
    <n v="6.3119240879285915E-2"/>
    <n v="30464.720000000001"/>
  </r>
  <r>
    <n v="1019"/>
    <x v="141"/>
    <s v="Alice"/>
    <s v="East"/>
    <x v="621"/>
    <n v="28"/>
    <x v="0"/>
    <n v="3907.86"/>
    <n v="4205.37"/>
    <s v="New"/>
    <n v="0.09"/>
    <s v="Credit Card"/>
    <s v="Online"/>
    <s v="East-Alice"/>
    <n v="8330.2799999999934"/>
    <n v="7.0745261415761221E-2"/>
    <n v="117750.36"/>
  </r>
  <r>
    <n v="1076"/>
    <x v="89"/>
    <s v="Bob"/>
    <s v="West"/>
    <x v="622"/>
    <n v="32"/>
    <x v="1"/>
    <n v="2636.36"/>
    <n v="2696.78"/>
    <s v="New"/>
    <n v="0.09"/>
    <s v="Cash"/>
    <s v="Retail"/>
    <s v="West-Bob"/>
    <n v="1933.4400000000023"/>
    <n v="2.2404497215197407E-2"/>
    <n v="86296.960000000006"/>
  </r>
  <r>
    <n v="1009"/>
    <x v="113"/>
    <s v="David"/>
    <s v="East"/>
    <x v="623"/>
    <n v="1"/>
    <x v="2"/>
    <n v="3223.07"/>
    <n v="3590.83"/>
    <s v="New"/>
    <n v="0.19"/>
    <s v="Bank Transfer"/>
    <s v="Retail"/>
    <s v="East-David"/>
    <n v="367.75999999999976"/>
    <n v="0.10241643296953623"/>
    <n v="3590.83"/>
  </r>
  <r>
    <n v="1071"/>
    <x v="250"/>
    <s v="David"/>
    <s v="North"/>
    <x v="624"/>
    <n v="47"/>
    <x v="1"/>
    <n v="3942.34"/>
    <n v="4142.09"/>
    <s v="Returning"/>
    <n v="0.03"/>
    <s v="Credit Card"/>
    <s v="Retail"/>
    <s v="North-David"/>
    <n v="9388.25"/>
    <n v="4.8224447078648702E-2"/>
    <n v="194678.23"/>
  </r>
  <r>
    <n v="1028"/>
    <x v="30"/>
    <s v="Eve"/>
    <s v="North"/>
    <x v="625"/>
    <n v="28"/>
    <x v="0"/>
    <n v="2055.2800000000002"/>
    <n v="2449.64"/>
    <s v="New"/>
    <n v="0.19"/>
    <s v="Credit Card"/>
    <s v="Online"/>
    <s v="North-Eve"/>
    <n v="11042.079999999991"/>
    <n v="0.16098692052709773"/>
    <n v="68589.919999999998"/>
  </r>
  <r>
    <n v="1078"/>
    <x v="200"/>
    <s v="David"/>
    <s v="East"/>
    <x v="626"/>
    <n v="42"/>
    <x v="1"/>
    <n v="63.41"/>
    <n v="314.93"/>
    <s v="Returning"/>
    <n v="0.03"/>
    <s v="Cash"/>
    <s v="Retail"/>
    <s v="East-David"/>
    <n v="10563.84"/>
    <n v="0.79865366906931701"/>
    <n v="13227.06"/>
  </r>
  <r>
    <n v="1095"/>
    <x v="128"/>
    <s v="Charlie"/>
    <s v="West"/>
    <x v="627"/>
    <n v="7"/>
    <x v="1"/>
    <n v="4257.24"/>
    <n v="4355.87"/>
    <s v="Returning"/>
    <n v="0.03"/>
    <s v="Bank Transfer"/>
    <s v="Online"/>
    <s v="West-Charlie"/>
    <n v="690.41000000000076"/>
    <n v="2.264300817058363E-2"/>
    <n v="30491.09"/>
  </r>
  <r>
    <n v="1052"/>
    <x v="289"/>
    <s v="Alice"/>
    <s v="South"/>
    <x v="628"/>
    <n v="2"/>
    <x v="1"/>
    <n v="1935.41"/>
    <n v="2305.44"/>
    <s v="Returning"/>
    <n v="0.22"/>
    <s v="Credit Card"/>
    <s v="Online"/>
    <s v="South-Alice"/>
    <n v="740.06"/>
    <n v="0.16050298424595738"/>
    <n v="4610.88"/>
  </r>
  <r>
    <n v="1083"/>
    <x v="11"/>
    <s v="Eve"/>
    <s v="West"/>
    <x v="629"/>
    <n v="42"/>
    <x v="2"/>
    <n v="2505.41"/>
    <n v="2638.96"/>
    <s v="New"/>
    <n v="0.1"/>
    <s v="Bank Transfer"/>
    <s v="Online"/>
    <s v="West-Eve"/>
    <n v="5609.1000000000076"/>
    <n v="5.0607057325613186E-2"/>
    <n v="110836.32"/>
  </r>
  <r>
    <n v="1016"/>
    <x v="163"/>
    <s v="Charlie"/>
    <s v="South"/>
    <x v="630"/>
    <n v="24"/>
    <x v="0"/>
    <n v="88.44"/>
    <n v="338.94"/>
    <s v="New"/>
    <n v="0.28999999999999998"/>
    <s v="Cash"/>
    <s v="Online"/>
    <s v="South-Charlie"/>
    <n v="6012"/>
    <n v="0.73906886174544173"/>
    <n v="8134.5599999999995"/>
  </r>
  <r>
    <n v="1069"/>
    <x v="148"/>
    <s v="Bob"/>
    <s v="North"/>
    <x v="631"/>
    <n v="4"/>
    <x v="3"/>
    <n v="2485.86"/>
    <n v="2532.87"/>
    <s v="New"/>
    <n v="0.01"/>
    <s v="Credit Card"/>
    <s v="Online"/>
    <s v="North-Bob"/>
    <n v="188.03999999999905"/>
    <n v="1.8559973468831707E-2"/>
    <n v="10131.48"/>
  </r>
  <r>
    <n v="1099"/>
    <x v="290"/>
    <s v="Alice"/>
    <s v="West"/>
    <x v="632"/>
    <n v="44"/>
    <x v="2"/>
    <n v="4933.1099999999997"/>
    <n v="5245.86"/>
    <s v="Returning"/>
    <n v="0.13"/>
    <s v="Bank Transfer"/>
    <s v="Retail"/>
    <s v="West-Alice"/>
    <n v="13761"/>
    <n v="5.9618441971383149E-2"/>
    <n v="230817.84"/>
  </r>
  <r>
    <n v="1012"/>
    <x v="66"/>
    <s v="David"/>
    <s v="South"/>
    <x v="633"/>
    <n v="19"/>
    <x v="3"/>
    <n v="1427.42"/>
    <n v="1763.69"/>
    <s v="New"/>
    <n v="0.03"/>
    <s v="Cash"/>
    <s v="Retail"/>
    <s v="South-David"/>
    <n v="6389.1299999999992"/>
    <n v="0.19066275819446726"/>
    <n v="33510.11"/>
  </r>
  <r>
    <n v="1025"/>
    <x v="291"/>
    <s v="Alice"/>
    <s v="East"/>
    <x v="634"/>
    <n v="26"/>
    <x v="3"/>
    <n v="2007.32"/>
    <n v="2202.87"/>
    <s v="Returning"/>
    <n v="0.11"/>
    <s v="Cash"/>
    <s v="Online"/>
    <s v="East-Alice"/>
    <n v="5084.2999999999993"/>
    <n v="8.8770558407895148E-2"/>
    <n v="57274.619999999995"/>
  </r>
  <r>
    <n v="1052"/>
    <x v="99"/>
    <s v="Bob"/>
    <s v="North"/>
    <x v="635"/>
    <n v="11"/>
    <x v="2"/>
    <n v="3451.59"/>
    <n v="3929.26"/>
    <s v="New"/>
    <n v="0.3"/>
    <s v="Credit Card"/>
    <s v="Retail"/>
    <s v="North-Bob"/>
    <n v="5254.3700000000008"/>
    <n v="0.12156741981950801"/>
    <n v="43221.86"/>
  </r>
  <r>
    <n v="1085"/>
    <x v="70"/>
    <s v="Eve"/>
    <s v="East"/>
    <x v="636"/>
    <n v="40"/>
    <x v="2"/>
    <n v="4083.23"/>
    <n v="4521.57"/>
    <s v="New"/>
    <n v="0.27"/>
    <s v="Bank Transfer"/>
    <s v="Retail"/>
    <s v="East-Eve"/>
    <n v="17533.599999999988"/>
    <n v="9.6944203009131716E-2"/>
    <n v="180862.8"/>
  </r>
  <r>
    <n v="1100"/>
    <x v="206"/>
    <s v="Eve"/>
    <s v="North"/>
    <x v="637"/>
    <n v="43"/>
    <x v="0"/>
    <n v="2116.09"/>
    <n v="2472.98"/>
    <s v="New"/>
    <n v="0.01"/>
    <s v="Credit Card"/>
    <s v="Retail"/>
    <s v="North-Eve"/>
    <n v="15346.269999999995"/>
    <n v="0.14431576478580493"/>
    <n v="106338.14"/>
  </r>
  <r>
    <n v="1053"/>
    <x v="57"/>
    <s v="Eve"/>
    <s v="West"/>
    <x v="638"/>
    <n v="11"/>
    <x v="0"/>
    <n v="1582.86"/>
    <n v="1942.55"/>
    <s v="New"/>
    <n v="0.17"/>
    <s v="Credit Card"/>
    <s v="Retail"/>
    <s v="West-Eve"/>
    <n v="3956.5900000000006"/>
    <n v="0.18516383104681994"/>
    <n v="21368.05"/>
  </r>
  <r>
    <n v="1023"/>
    <x v="186"/>
    <s v="David"/>
    <s v="West"/>
    <x v="639"/>
    <n v="45"/>
    <x v="1"/>
    <n v="4692.24"/>
    <n v="4825.92"/>
    <s v="Returning"/>
    <n v="0.19"/>
    <s v="Bank Transfer"/>
    <s v="Retail"/>
    <s v="West-David"/>
    <n v="6015.6000000000131"/>
    <n v="2.7700417744181482E-2"/>
    <n v="217166.4"/>
  </r>
  <r>
    <n v="1016"/>
    <x v="177"/>
    <s v="Charlie"/>
    <s v="North"/>
    <x v="640"/>
    <n v="3"/>
    <x v="3"/>
    <n v="3401.87"/>
    <n v="3733.71"/>
    <s v="Returning"/>
    <n v="0.06"/>
    <s v="Bank Transfer"/>
    <s v="Retail"/>
    <s v="North-Charlie"/>
    <n v="995.52000000000044"/>
    <n v="8.8876747256750016E-2"/>
    <n v="11201.130000000001"/>
  </r>
  <r>
    <n v="1057"/>
    <x v="231"/>
    <s v="Charlie"/>
    <s v="North"/>
    <x v="641"/>
    <n v="12"/>
    <x v="0"/>
    <n v="639.16"/>
    <n v="746.28"/>
    <s v="Returning"/>
    <n v="0.04"/>
    <s v="Bank Transfer"/>
    <s v="Retail"/>
    <s v="North-Charlie"/>
    <n v="1285.44"/>
    <n v="0.14353861821300315"/>
    <n v="8955.36"/>
  </r>
  <r>
    <n v="1039"/>
    <x v="292"/>
    <s v="Alice"/>
    <s v="North"/>
    <x v="642"/>
    <n v="3"/>
    <x v="1"/>
    <n v="391.19"/>
    <n v="471.75"/>
    <s v="Returning"/>
    <n v="0.27"/>
    <s v="Cash"/>
    <s v="Online"/>
    <s v="North-Alice"/>
    <n v="241.68"/>
    <n v="0.17076841547429783"/>
    <n v="1415.25"/>
  </r>
  <r>
    <n v="1053"/>
    <x v="54"/>
    <s v="David"/>
    <s v="West"/>
    <x v="643"/>
    <n v="42"/>
    <x v="0"/>
    <n v="2443.5700000000002"/>
    <n v="2943.31"/>
    <s v="New"/>
    <n v="0.28999999999999998"/>
    <s v="Cash"/>
    <s v="Online"/>
    <s v="West-David"/>
    <n v="20989.079999999991"/>
    <n v="0.16978843546891076"/>
    <n v="123619.02"/>
  </r>
  <r>
    <n v="1042"/>
    <x v="290"/>
    <s v="Eve"/>
    <s v="South"/>
    <x v="644"/>
    <n v="27"/>
    <x v="2"/>
    <n v="1139.45"/>
    <n v="1454.41"/>
    <s v="Returning"/>
    <n v="0.3"/>
    <s v="Bank Transfer"/>
    <s v="Online"/>
    <s v="South-Eve"/>
    <n v="8503.9200000000019"/>
    <n v="0.21655516669989897"/>
    <n v="39269.07"/>
  </r>
  <r>
    <n v="1058"/>
    <x v="263"/>
    <s v="Eve"/>
    <s v="East"/>
    <x v="645"/>
    <n v="49"/>
    <x v="0"/>
    <n v="1307.22"/>
    <n v="1528.4"/>
    <s v="Returning"/>
    <n v="0.24"/>
    <s v="Cash"/>
    <s v="Retail"/>
    <s v="East-Eve"/>
    <n v="10837.820000000003"/>
    <n v="0.14471342580476318"/>
    <n v="74891.600000000006"/>
  </r>
  <r>
    <n v="1039"/>
    <x v="68"/>
    <s v="Bob"/>
    <s v="East"/>
    <x v="646"/>
    <n v="2"/>
    <x v="3"/>
    <n v="4394.58"/>
    <n v="4545.78"/>
    <s v="Returning"/>
    <n v="0.2"/>
    <s v="Credit Card"/>
    <s v="Retail"/>
    <s v="East-Bob"/>
    <n v="302.39999999999964"/>
    <n v="3.3261618468117642E-2"/>
    <n v="9091.56"/>
  </r>
  <r>
    <n v="1014"/>
    <x v="293"/>
    <s v="Bob"/>
    <s v="West"/>
    <x v="647"/>
    <n v="49"/>
    <x v="0"/>
    <n v="493.35"/>
    <n v="799.27"/>
    <s v="New"/>
    <n v="0.1"/>
    <s v="Bank Transfer"/>
    <s v="Online"/>
    <s v="West-Bob"/>
    <n v="14990.079999999998"/>
    <n v="0.38274925869856241"/>
    <n v="39164.229999999996"/>
  </r>
  <r>
    <n v="1095"/>
    <x v="42"/>
    <s v="Eve"/>
    <s v="East"/>
    <x v="648"/>
    <n v="16"/>
    <x v="3"/>
    <n v="3591.05"/>
    <n v="3625.35"/>
    <s v="Returning"/>
    <n v="0.05"/>
    <s v="Credit Card"/>
    <s v="Retail"/>
    <s v="East-Eve"/>
    <n v="548.79999999999563"/>
    <n v="9.461155474643752E-3"/>
    <n v="58005.599999999999"/>
  </r>
  <r>
    <n v="1005"/>
    <x v="116"/>
    <s v="Eve"/>
    <s v="North"/>
    <x v="649"/>
    <n v="2"/>
    <x v="2"/>
    <n v="1392.15"/>
    <n v="1448.54"/>
    <s v="Returning"/>
    <n v="0.02"/>
    <s v="Bank Transfer"/>
    <s v="Retail"/>
    <s v="North-Eve"/>
    <n v="112.77999999999975"/>
    <n v="3.892885249975829E-2"/>
    <n v="2897.08"/>
  </r>
  <r>
    <n v="1035"/>
    <x v="133"/>
    <s v="David"/>
    <s v="South"/>
    <x v="650"/>
    <n v="30"/>
    <x v="3"/>
    <n v="3813.62"/>
    <n v="3839.72"/>
    <s v="New"/>
    <n v="0.21"/>
    <s v="Credit Card"/>
    <s v="Online"/>
    <s v="South-David"/>
    <n v="782.99999999999727"/>
    <n v="6.797370641609261E-3"/>
    <n v="115191.59999999999"/>
  </r>
  <r>
    <n v="1087"/>
    <x v="285"/>
    <s v="Charlie"/>
    <s v="East"/>
    <x v="651"/>
    <n v="20"/>
    <x v="0"/>
    <n v="3625.94"/>
    <n v="3880.53"/>
    <s v="New"/>
    <n v="0.24"/>
    <s v="Bank Transfer"/>
    <s v="Online"/>
    <s v="East-Charlie"/>
    <n v="5091.8000000000029"/>
    <n v="6.5607017598111633E-2"/>
    <n v="77610.600000000006"/>
  </r>
  <r>
    <n v="1093"/>
    <x v="294"/>
    <s v="Bob"/>
    <s v="South"/>
    <x v="652"/>
    <n v="38"/>
    <x v="1"/>
    <n v="86.59"/>
    <n v="390.89"/>
    <s v="Returning"/>
    <n v="0.25"/>
    <s v="Credit Card"/>
    <s v="Online"/>
    <s v="South-Bob"/>
    <n v="11563.399999999998"/>
    <n v="0.77847987924991668"/>
    <n v="14853.82"/>
  </r>
  <r>
    <n v="1075"/>
    <x v="257"/>
    <s v="Charlie"/>
    <s v="North"/>
    <x v="653"/>
    <n v="28"/>
    <x v="2"/>
    <n v="2570.2199999999998"/>
    <n v="2610.8399999999901"/>
    <s v="Returning"/>
    <n v="0.27"/>
    <s v="Bank Transfer"/>
    <s v="Retail"/>
    <s v="North-Charlie"/>
    <n v="1137.3599999997296"/>
    <n v="1.5558211150430701E-2"/>
    <n v="73103.519999999728"/>
  </r>
  <r>
    <n v="1018"/>
    <x v="278"/>
    <s v="David"/>
    <s v="East"/>
    <x v="654"/>
    <n v="25"/>
    <x v="0"/>
    <n v="739.63"/>
    <n v="1103.03"/>
    <s v="New"/>
    <n v="0.26"/>
    <s v="Bank Transfer"/>
    <s v="Retail"/>
    <s v="East-David"/>
    <n v="9085"/>
    <n v="0.329456134465971"/>
    <n v="27575.75"/>
  </r>
  <r>
    <n v="1076"/>
    <x v="211"/>
    <s v="Eve"/>
    <s v="West"/>
    <x v="655"/>
    <n v="32"/>
    <x v="2"/>
    <n v="4337.82"/>
    <n v="4460.71"/>
    <s v="Returning"/>
    <n v="0.3"/>
    <s v="Cash"/>
    <s v="Retail"/>
    <s v="West-Eve"/>
    <n v="3932.4800000000105"/>
    <n v="2.7549425988239614E-2"/>
    <n v="142742.72"/>
  </r>
  <r>
    <n v="1009"/>
    <x v="103"/>
    <s v="Charlie"/>
    <s v="South"/>
    <x v="656"/>
    <n v="10"/>
    <x v="2"/>
    <n v="4364.3500000000004"/>
    <n v="4710.1000000000004"/>
    <s v="New"/>
    <n v="7.0000000000000007E-2"/>
    <s v="Credit Card"/>
    <s v="Online"/>
    <s v="South-Charlie"/>
    <n v="3457.5"/>
    <n v="7.3406084796501139E-2"/>
    <n v="47101"/>
  </r>
  <r>
    <n v="1074"/>
    <x v="79"/>
    <s v="Eve"/>
    <s v="North"/>
    <x v="657"/>
    <n v="42"/>
    <x v="0"/>
    <n v="2120.81"/>
    <n v="2611.94"/>
    <s v="Returning"/>
    <n v="0.23"/>
    <s v="Cash"/>
    <s v="Online"/>
    <s v="North-Eve"/>
    <n v="20627.460000000006"/>
    <n v="0.18803265006087436"/>
    <n v="109701.48"/>
  </r>
  <r>
    <n v="1058"/>
    <x v="295"/>
    <s v="Eve"/>
    <s v="South"/>
    <x v="658"/>
    <n v="40"/>
    <x v="0"/>
    <n v="2249.7600000000002"/>
    <n v="2598.4"/>
    <s v="Returning"/>
    <n v="0.18"/>
    <s v="Credit Card"/>
    <s v="Retail"/>
    <s v="South-Eve"/>
    <n v="13945.599999999995"/>
    <n v="0.1341748768472906"/>
    <n v="103936"/>
  </r>
  <r>
    <n v="1017"/>
    <x v="296"/>
    <s v="Alice"/>
    <s v="East"/>
    <x v="659"/>
    <n v="33"/>
    <x v="1"/>
    <n v="1551.25"/>
    <n v="1994.01"/>
    <s v="Returning"/>
    <n v="0.08"/>
    <s v="Cash"/>
    <s v="Online"/>
    <s v="East-Alice"/>
    <n v="14611.08"/>
    <n v="0.22204502484942401"/>
    <n v="65802.33"/>
  </r>
  <r>
    <n v="1007"/>
    <x v="238"/>
    <s v="Charlie"/>
    <s v="East"/>
    <x v="660"/>
    <n v="13"/>
    <x v="2"/>
    <n v="3597.2"/>
    <n v="4071.8199999999902"/>
    <s v="Returning"/>
    <n v="0.28999999999999998"/>
    <s v="Bank Transfer"/>
    <s v="Online"/>
    <s v="East-Charlie"/>
    <n v="6170.059999999874"/>
    <n v="0.11656212700954155"/>
    <n v="52933.659999999873"/>
  </r>
  <r>
    <n v="1046"/>
    <x v="91"/>
    <s v="Charlie"/>
    <s v="West"/>
    <x v="661"/>
    <n v="41"/>
    <x v="2"/>
    <n v="1825.37"/>
    <n v="2073.88"/>
    <s v="Returning"/>
    <n v="0.27"/>
    <s v="Cash"/>
    <s v="Retail"/>
    <s v="West-Charlie"/>
    <n v="10188.910000000009"/>
    <n v="0.11982853395567739"/>
    <n v="85029.08"/>
  </r>
  <r>
    <n v="1013"/>
    <x v="297"/>
    <s v="Eve"/>
    <s v="North"/>
    <x v="662"/>
    <n v="42"/>
    <x v="0"/>
    <n v="1375.57"/>
    <n v="1729.71"/>
    <s v="New"/>
    <n v="0.04"/>
    <s v="Cash"/>
    <s v="Online"/>
    <s v="North-Eve"/>
    <n v="14873.880000000005"/>
    <n v="0.2047395228101821"/>
    <n v="72647.820000000007"/>
  </r>
  <r>
    <n v="1040"/>
    <x v="204"/>
    <s v="David"/>
    <s v="North"/>
    <x v="663"/>
    <n v="47"/>
    <x v="3"/>
    <n v="2189.54"/>
    <n v="2617"/>
    <s v="New"/>
    <n v="0.01"/>
    <s v="Bank Transfer"/>
    <s v="Online"/>
    <s v="North-David"/>
    <n v="20090.620000000003"/>
    <n v="0.16333970194879635"/>
    <n v="122999"/>
  </r>
  <r>
    <n v="1042"/>
    <x v="127"/>
    <s v="Alice"/>
    <s v="West"/>
    <x v="664"/>
    <n v="37"/>
    <x v="0"/>
    <n v="502.86"/>
    <n v="687.6"/>
    <s v="Returning"/>
    <n v="0.21"/>
    <s v="Cash"/>
    <s v="Online"/>
    <s v="West-Alice"/>
    <n v="6835.38"/>
    <n v="0.26867364746945899"/>
    <n v="25441.200000000001"/>
  </r>
  <r>
    <n v="1009"/>
    <x v="157"/>
    <s v="Eve"/>
    <s v="West"/>
    <x v="665"/>
    <n v="16"/>
    <x v="2"/>
    <n v="3745.69"/>
    <n v="3883.77"/>
    <s v="Returning"/>
    <n v="0.18"/>
    <s v="Bank Transfer"/>
    <s v="Retail"/>
    <s v="West-Eve"/>
    <n v="2209.2799999999988"/>
    <n v="3.5553083730498952E-2"/>
    <n v="62140.32"/>
  </r>
  <r>
    <n v="1050"/>
    <x v="28"/>
    <s v="Bob"/>
    <s v="North"/>
    <x v="666"/>
    <n v="45"/>
    <x v="0"/>
    <n v="112.35"/>
    <n v="586.17999999999995"/>
    <s v="Returning"/>
    <n v="0.28000000000000003"/>
    <s v="Credit Card"/>
    <s v="Retail"/>
    <s v="North-Bob"/>
    <n v="21322.35"/>
    <n v="0.80833532362073079"/>
    <n v="26378.1"/>
  </r>
  <r>
    <n v="1027"/>
    <x v="222"/>
    <s v="Bob"/>
    <s v="South"/>
    <x v="667"/>
    <n v="22"/>
    <x v="1"/>
    <n v="3240.2"/>
    <n v="3606.0899999999901"/>
    <s v="New"/>
    <n v="7.0000000000000007E-2"/>
    <s v="Cash"/>
    <s v="Online"/>
    <s v="South-Bob"/>
    <n v="8049.5799999997871"/>
    <n v="0.10146446705434178"/>
    <n v="79333.979999999778"/>
  </r>
  <r>
    <n v="1066"/>
    <x v="11"/>
    <s v="Alice"/>
    <s v="South"/>
    <x v="668"/>
    <n v="20"/>
    <x v="3"/>
    <n v="955.18"/>
    <n v="1072.82"/>
    <s v="New"/>
    <n v="0.03"/>
    <s v="Bank Transfer"/>
    <s v="Retail"/>
    <s v="South-Alice"/>
    <n v="2352.7999999999997"/>
    <n v="0.10965492813333085"/>
    <n v="21456.399999999998"/>
  </r>
  <r>
    <n v="1005"/>
    <x v="136"/>
    <s v="David"/>
    <s v="West"/>
    <x v="669"/>
    <n v="43"/>
    <x v="0"/>
    <n v="1200.4000000000001"/>
    <n v="1430.45"/>
    <s v="New"/>
    <n v="0.08"/>
    <s v="Bank Transfer"/>
    <s v="Retail"/>
    <s v="West-David"/>
    <n v="9892.1499999999978"/>
    <n v="0.16082351707504627"/>
    <n v="61509.35"/>
  </r>
  <r>
    <n v="1029"/>
    <x v="277"/>
    <s v="Eve"/>
    <s v="South"/>
    <x v="670"/>
    <n v="27"/>
    <x v="1"/>
    <n v="3196.38"/>
    <n v="3596.64"/>
    <s v="New"/>
    <n v="0.01"/>
    <s v="Cash"/>
    <s v="Retail"/>
    <s v="South-Eve"/>
    <n v="10807.019999999993"/>
    <n v="0.11128720138796203"/>
    <n v="97109.28"/>
  </r>
  <r>
    <n v="1037"/>
    <x v="231"/>
    <s v="Charlie"/>
    <s v="North"/>
    <x v="671"/>
    <n v="41"/>
    <x v="2"/>
    <n v="4965.07"/>
    <n v="5243.13"/>
    <s v="New"/>
    <n v="0.01"/>
    <s v="Credit Card"/>
    <s v="Online"/>
    <s v="North-Charlie"/>
    <n v="11400.460000000017"/>
    <n v="5.3033207263600252E-2"/>
    <n v="214968.33000000002"/>
  </r>
  <r>
    <n v="1038"/>
    <x v="32"/>
    <s v="Alice"/>
    <s v="East"/>
    <x v="672"/>
    <n v="16"/>
    <x v="0"/>
    <n v="3899.7"/>
    <n v="4228.18"/>
    <s v="New"/>
    <n v="0.27"/>
    <s v="Cash"/>
    <s v="Retail"/>
    <s v="East-Alice"/>
    <n v="5255.6800000000076"/>
    <n v="7.768827249549462E-2"/>
    <n v="67650.880000000005"/>
  </r>
  <r>
    <n v="1083"/>
    <x v="170"/>
    <s v="David"/>
    <s v="East"/>
    <x v="673"/>
    <n v="34"/>
    <x v="2"/>
    <n v="1167.9100000000001"/>
    <n v="1547.26"/>
    <s v="New"/>
    <n v="0.11"/>
    <s v="Bank Transfer"/>
    <s v="Online"/>
    <s v="East-David"/>
    <n v="12897.899999999998"/>
    <n v="0.24517534221785606"/>
    <n v="52606.84"/>
  </r>
  <r>
    <n v="1008"/>
    <x v="70"/>
    <s v="Charlie"/>
    <s v="South"/>
    <x v="674"/>
    <n v="32"/>
    <x v="1"/>
    <n v="921.32"/>
    <n v="1236.0999999999999"/>
    <s v="New"/>
    <n v="0.12"/>
    <s v="Credit Card"/>
    <s v="Online"/>
    <s v="South-Charlie"/>
    <n v="10072.959999999995"/>
    <n v="0.2546557721867162"/>
    <n v="39555.199999999997"/>
  </r>
  <r>
    <n v="1065"/>
    <x v="11"/>
    <s v="Bob"/>
    <s v="West"/>
    <x v="675"/>
    <n v="26"/>
    <x v="2"/>
    <n v="4337.8500000000004"/>
    <n v="4612.49"/>
    <s v="Returning"/>
    <n v="0.01"/>
    <s v="Cash"/>
    <s v="Retail"/>
    <s v="West-Bob"/>
    <n v="7140.6399999999849"/>
    <n v="5.9542676515287718E-2"/>
    <n v="119924.73999999999"/>
  </r>
  <r>
    <n v="1086"/>
    <x v="298"/>
    <s v="Bob"/>
    <s v="West"/>
    <x v="676"/>
    <n v="25"/>
    <x v="1"/>
    <n v="2248.71"/>
    <n v="2626.02"/>
    <s v="New"/>
    <n v="0.08"/>
    <s v="Bank Transfer"/>
    <s v="Online"/>
    <s v="West-Bob"/>
    <n v="9432.7499999999982"/>
    <n v="0.14368131240432286"/>
    <n v="65650.5"/>
  </r>
  <r>
    <n v="1017"/>
    <x v="61"/>
    <s v="Charlie"/>
    <s v="West"/>
    <x v="677"/>
    <n v="2"/>
    <x v="1"/>
    <n v="728.41"/>
    <n v="1094.92"/>
    <s v="New"/>
    <n v="0.24"/>
    <s v="Cash"/>
    <s v="Retail"/>
    <s v="West-Charlie"/>
    <n v="733.02000000000021"/>
    <n v="0.33473678442260629"/>
    <n v="2189.84"/>
  </r>
  <r>
    <n v="1071"/>
    <x v="90"/>
    <s v="Alice"/>
    <s v="West"/>
    <x v="678"/>
    <n v="12"/>
    <x v="1"/>
    <n v="4317.95"/>
    <n v="4636.59"/>
    <s v="New"/>
    <n v="0.18"/>
    <s v="Credit Card"/>
    <s v="Retail"/>
    <s v="West-Alice"/>
    <n v="3823.6800000000039"/>
    <n v="6.8722919214336473E-2"/>
    <n v="55639.08"/>
  </r>
  <r>
    <n v="1089"/>
    <x v="175"/>
    <s v="Bob"/>
    <s v="West"/>
    <x v="679"/>
    <n v="40"/>
    <x v="0"/>
    <n v="4089.66"/>
    <n v="4275.96"/>
    <s v="New"/>
    <n v="0.23"/>
    <s v="Credit Card"/>
    <s v="Online"/>
    <s v="West-Bob"/>
    <n v="7452.0000000000073"/>
    <n v="4.3569163415934711E-2"/>
    <n v="171038.4"/>
  </r>
  <r>
    <n v="1045"/>
    <x v="273"/>
    <s v="Eve"/>
    <s v="South"/>
    <x v="680"/>
    <n v="9"/>
    <x v="2"/>
    <n v="4920.34"/>
    <n v="5129.1899999999996"/>
    <s v="Returning"/>
    <n v="0.13"/>
    <s v="Credit Card"/>
    <s v="Online"/>
    <s v="South-Eve"/>
    <n v="1879.6499999999951"/>
    <n v="4.0717930121520057E-2"/>
    <n v="46162.71"/>
  </r>
  <r>
    <n v="1004"/>
    <x v="59"/>
    <s v="Charlie"/>
    <s v="East"/>
    <x v="681"/>
    <n v="12"/>
    <x v="2"/>
    <n v="4553.2299999999996"/>
    <n v="5038.74"/>
    <s v="New"/>
    <n v="0.09"/>
    <s v="Credit Card"/>
    <s v="Retail"/>
    <s v="East-Charlie"/>
    <n v="5826.1200000000026"/>
    <n v="9.6355438065865717E-2"/>
    <n v="60464.88"/>
  </r>
  <r>
    <n v="1036"/>
    <x v="299"/>
    <s v="Charlie"/>
    <s v="East"/>
    <x v="682"/>
    <n v="26"/>
    <x v="3"/>
    <n v="4266.3599999999997"/>
    <n v="4331.4299999999903"/>
    <s v="Returning"/>
    <n v="0.14000000000000001"/>
    <s v="Credit Card"/>
    <s v="Retail"/>
    <s v="East-Charlie"/>
    <n v="1691.819999999756"/>
    <n v="1.5022752301200934E-2"/>
    <n v="112617.17999999975"/>
  </r>
  <r>
    <n v="1070"/>
    <x v="94"/>
    <s v="Bob"/>
    <s v="South"/>
    <x v="683"/>
    <n v="9"/>
    <x v="3"/>
    <n v="310.24"/>
    <n v="451.81"/>
    <s v="Returning"/>
    <n v="0.1"/>
    <s v="Cash"/>
    <s v="Retail"/>
    <s v="South-Bob"/>
    <n v="1274.1299999999999"/>
    <n v="0.3133396781833071"/>
    <n v="4066.29"/>
  </r>
  <r>
    <n v="1031"/>
    <x v="273"/>
    <s v="Alice"/>
    <s v="West"/>
    <x v="684"/>
    <n v="10"/>
    <x v="3"/>
    <n v="566.86"/>
    <n v="818.14"/>
    <s v="Returning"/>
    <n v="0.25"/>
    <s v="Credit Card"/>
    <s v="Retail"/>
    <s v="West-Alice"/>
    <n v="2512.7999999999997"/>
    <n v="0.30713569804678903"/>
    <n v="8181.4"/>
  </r>
  <r>
    <n v="1019"/>
    <x v="300"/>
    <s v="Eve"/>
    <s v="South"/>
    <x v="685"/>
    <n v="32"/>
    <x v="3"/>
    <n v="2866.47"/>
    <n v="3286.47"/>
    <s v="New"/>
    <n v="0.09"/>
    <s v="Credit Card"/>
    <s v="Online"/>
    <s v="South-Eve"/>
    <n v="13440"/>
    <n v="0.12779669371696684"/>
    <n v="105167.03999999999"/>
  </r>
  <r>
    <n v="1061"/>
    <x v="228"/>
    <s v="Alice"/>
    <s v="East"/>
    <x v="686"/>
    <n v="34"/>
    <x v="2"/>
    <n v="2680.82"/>
    <n v="2771.02"/>
    <s v="New"/>
    <n v="0.2"/>
    <s v="Bank Transfer"/>
    <s v="Online"/>
    <s v="East-Alice"/>
    <n v="3066.7999999999938"/>
    <n v="3.255119053633674E-2"/>
    <n v="94214.68"/>
  </r>
  <r>
    <n v="1054"/>
    <x v="194"/>
    <s v="David"/>
    <s v="North"/>
    <x v="687"/>
    <n v="48"/>
    <x v="1"/>
    <n v="2316.92"/>
    <n v="2462.63"/>
    <s v="New"/>
    <n v="0.04"/>
    <s v="Credit Card"/>
    <s v="Online"/>
    <s v="North-David"/>
    <n v="6994.0800000000017"/>
    <n v="5.9168449990457367E-2"/>
    <n v="118206.24"/>
  </r>
  <r>
    <n v="1039"/>
    <x v="32"/>
    <s v="David"/>
    <s v="South"/>
    <x v="688"/>
    <n v="20"/>
    <x v="1"/>
    <n v="2014.11"/>
    <n v="2056.35"/>
    <s v="Returning"/>
    <n v="0.21"/>
    <s v="Bank Transfer"/>
    <s v="Retail"/>
    <s v="South-David"/>
    <n v="844.80000000000018"/>
    <n v="2.0541250273542932E-2"/>
    <n v="41127"/>
  </r>
  <r>
    <n v="1091"/>
    <x v="275"/>
    <s v="Bob"/>
    <s v="West"/>
    <x v="689"/>
    <n v="39"/>
    <x v="0"/>
    <n v="2184.4899999999998"/>
    <n v="2540.4199999999901"/>
    <s v="Returning"/>
    <n v="0.27"/>
    <s v="Bank Transfer"/>
    <s v="Online"/>
    <s v="West-Bob"/>
    <n v="13881.269999999622"/>
    <n v="0.1401067540013036"/>
    <n v="99076.379999999612"/>
  </r>
  <r>
    <n v="1074"/>
    <x v="185"/>
    <s v="Bob"/>
    <s v="East"/>
    <x v="690"/>
    <n v="2"/>
    <x v="1"/>
    <n v="2868.02"/>
    <n v="2994.74"/>
    <s v="Returning"/>
    <n v="0.18"/>
    <s v="Bank Transfer"/>
    <s v="Online"/>
    <s v="East-Bob"/>
    <n v="253.4399999999996"/>
    <n v="4.2314190881345227E-2"/>
    <n v="5989.48"/>
  </r>
  <r>
    <n v="1090"/>
    <x v="24"/>
    <s v="Bob"/>
    <s v="East"/>
    <x v="691"/>
    <n v="1"/>
    <x v="2"/>
    <n v="60.28"/>
    <n v="260.73"/>
    <s v="Returning"/>
    <n v="0.17"/>
    <s v="Cash"/>
    <s v="Online"/>
    <s v="East-Bob"/>
    <n v="200.45000000000002"/>
    <n v="0.76880297625896521"/>
    <n v="260.73"/>
  </r>
  <r>
    <n v="1019"/>
    <x v="89"/>
    <s v="David"/>
    <s v="East"/>
    <x v="692"/>
    <n v="36"/>
    <x v="2"/>
    <n v="1340.51"/>
    <n v="1567.92"/>
    <s v="New"/>
    <n v="0.28999999999999998"/>
    <s v="Cash"/>
    <s v="Online"/>
    <s v="East-David"/>
    <n v="8186.7600000000029"/>
    <n v="0.14503928771876121"/>
    <n v="56445.120000000003"/>
  </r>
  <r>
    <n v="1039"/>
    <x v="137"/>
    <s v="Alice"/>
    <s v="East"/>
    <x v="693"/>
    <n v="24"/>
    <x v="2"/>
    <n v="2615.48"/>
    <n v="3062.22"/>
    <s v="New"/>
    <n v="0.19"/>
    <s v="Bank Transfer"/>
    <s v="Retail"/>
    <s v="East-Alice"/>
    <n v="10721.759999999995"/>
    <n v="0.14588762401133812"/>
    <n v="73493.279999999999"/>
  </r>
  <r>
    <n v="1067"/>
    <x v="301"/>
    <s v="Alice"/>
    <s v="West"/>
    <x v="694"/>
    <n v="27"/>
    <x v="0"/>
    <n v="3624.97"/>
    <n v="3836.52"/>
    <s v="New"/>
    <n v="0.08"/>
    <s v="Cash"/>
    <s v="Online"/>
    <s v="West-Alice"/>
    <n v="5711.8500000000049"/>
    <n v="5.5141117471041515E-2"/>
    <n v="103586.04"/>
  </r>
  <r>
    <n v="1045"/>
    <x v="204"/>
    <s v="Bob"/>
    <s v="North"/>
    <x v="695"/>
    <n v="2"/>
    <x v="3"/>
    <n v="912.08"/>
    <n v="993.24"/>
    <s v="Returning"/>
    <n v="0.09"/>
    <s v="Credit Card"/>
    <s v="Online"/>
    <s v="North-Bob"/>
    <n v="162.31999999999994"/>
    <n v="8.1712375659457909E-2"/>
    <n v="1986.48"/>
  </r>
  <r>
    <n v="1013"/>
    <x v="302"/>
    <s v="Eve"/>
    <s v="East"/>
    <x v="696"/>
    <n v="31"/>
    <x v="1"/>
    <n v="2757.06"/>
    <n v="3023.97"/>
    <s v="Returning"/>
    <n v="0.21"/>
    <s v="Cash"/>
    <s v="Online"/>
    <s v="East-Eve"/>
    <n v="8274.2099999999955"/>
    <n v="8.8264764531394119E-2"/>
    <n v="93743.069999999992"/>
  </r>
  <r>
    <n v="1092"/>
    <x v="32"/>
    <s v="Alice"/>
    <s v="South"/>
    <x v="697"/>
    <n v="14"/>
    <x v="2"/>
    <n v="3586.58"/>
    <n v="4068.43"/>
    <s v="New"/>
    <n v="0.22"/>
    <s v="Credit Card"/>
    <s v="Online"/>
    <s v="South-Alice"/>
    <n v="6745.8999999999987"/>
    <n v="0.11843635013998027"/>
    <n v="56958.02"/>
  </r>
  <r>
    <n v="1058"/>
    <x v="266"/>
    <s v="David"/>
    <s v="North"/>
    <x v="698"/>
    <n v="2"/>
    <x v="2"/>
    <n v="2250.91"/>
    <n v="2558.6799999999998"/>
    <s v="New"/>
    <n v="0.09"/>
    <s v="Credit Card"/>
    <s v="Retail"/>
    <s v="North-David"/>
    <n v="615.54"/>
    <n v="0.12028467803711289"/>
    <n v="5117.3599999999997"/>
  </r>
  <r>
    <n v="1020"/>
    <x v="32"/>
    <s v="Charlie"/>
    <s v="East"/>
    <x v="699"/>
    <n v="29"/>
    <x v="3"/>
    <n v="184.05"/>
    <n v="675.91"/>
    <s v="Returning"/>
    <n v="0.1"/>
    <s v="Cash"/>
    <s v="Retail"/>
    <s v="East-Charlie"/>
    <n v="14263.939999999999"/>
    <n v="0.72770043348966573"/>
    <n v="19601.39"/>
  </r>
  <r>
    <n v="1092"/>
    <x v="171"/>
    <s v="Charlie"/>
    <s v="North"/>
    <x v="700"/>
    <n v="15"/>
    <x v="2"/>
    <n v="2273.88"/>
    <n v="2696.02"/>
    <s v="New"/>
    <n v="0.3"/>
    <s v="Cash"/>
    <s v="Online"/>
    <s v="North-Charlie"/>
    <n v="6332.0999999999985"/>
    <n v="0.15657895712939809"/>
    <n v="40440.300000000003"/>
  </r>
  <r>
    <n v="1072"/>
    <x v="104"/>
    <s v="Charlie"/>
    <s v="South"/>
    <x v="701"/>
    <n v="12"/>
    <x v="1"/>
    <n v="1517.4"/>
    <n v="1545.02"/>
    <s v="New"/>
    <n v="0.03"/>
    <s v="Bank Transfer"/>
    <s v="Retail"/>
    <s v="South-Charlie"/>
    <n v="331.43999999999869"/>
    <n v="1.7876791238948295E-2"/>
    <n v="18540.239999999998"/>
  </r>
  <r>
    <n v="1061"/>
    <x v="15"/>
    <s v="Eve"/>
    <s v="East"/>
    <x v="702"/>
    <n v="37"/>
    <x v="0"/>
    <n v="4651.7700000000004"/>
    <n v="4984.3900000000003"/>
    <s v="Returning"/>
    <n v="0.12"/>
    <s v="Cash"/>
    <s v="Retail"/>
    <s v="East-Eve"/>
    <n v="12306.939999999995"/>
    <n v="6.6732338360361007E-2"/>
    <n v="184422.43000000002"/>
  </r>
  <r>
    <n v="1039"/>
    <x v="291"/>
    <s v="Bob"/>
    <s v="South"/>
    <x v="703"/>
    <n v="28"/>
    <x v="2"/>
    <n v="666.84"/>
    <n v="817.36"/>
    <s v="Returning"/>
    <n v="0.02"/>
    <s v="Cash"/>
    <s v="Retail"/>
    <s v="South-Bob"/>
    <n v="4214.5599999999995"/>
    <n v="0.18415386121170593"/>
    <n v="22886.080000000002"/>
  </r>
  <r>
    <n v="1001"/>
    <x v="133"/>
    <s v="David"/>
    <s v="West"/>
    <x v="704"/>
    <n v="20"/>
    <x v="1"/>
    <n v="3279.76"/>
    <n v="3563.97"/>
    <s v="Returning"/>
    <n v="0.25"/>
    <s v="Cash"/>
    <s v="Retail"/>
    <s v="West-David"/>
    <n v="5684.1999999999916"/>
    <n v="7.9745340168407591E-2"/>
    <n v="71279.399999999994"/>
  </r>
  <r>
    <n v="1003"/>
    <x v="216"/>
    <s v="Eve"/>
    <s v="East"/>
    <x v="705"/>
    <n v="39"/>
    <x v="2"/>
    <n v="310.95999999999998"/>
    <n v="457.84"/>
    <s v="New"/>
    <n v="0.03"/>
    <s v="Credit Card"/>
    <s v="Online"/>
    <s v="East-Eve"/>
    <n v="5728.32"/>
    <n v="0.32081076358553207"/>
    <n v="17855.759999999998"/>
  </r>
  <r>
    <n v="1077"/>
    <x v="303"/>
    <s v="David"/>
    <s v="East"/>
    <x v="706"/>
    <n v="24"/>
    <x v="3"/>
    <n v="2258.54"/>
    <n v="2439.4899999999998"/>
    <s v="Returning"/>
    <n v="0.2"/>
    <s v="Credit Card"/>
    <s v="Retail"/>
    <s v="East-David"/>
    <n v="4342.7999999999956"/>
    <n v="7.4175339927607747E-2"/>
    <n v="58547.759999999995"/>
  </r>
  <r>
    <n v="1092"/>
    <x v="74"/>
    <s v="David"/>
    <s v="East"/>
    <x v="707"/>
    <n v="21"/>
    <x v="2"/>
    <n v="2792.2"/>
    <n v="3254.5499999999902"/>
    <s v="New"/>
    <n v="0.02"/>
    <s v="Credit Card"/>
    <s v="Retail"/>
    <s v="East-David"/>
    <n v="9709.3499999997985"/>
    <n v="0.14206265075048524"/>
    <n v="68345.549999999799"/>
  </r>
  <r>
    <n v="1062"/>
    <x v="154"/>
    <s v="Bob"/>
    <s v="East"/>
    <x v="708"/>
    <n v="10"/>
    <x v="2"/>
    <n v="1524.88"/>
    <n v="1636.14"/>
    <s v="New"/>
    <n v="0.2"/>
    <s v="Bank Transfer"/>
    <s v="Online"/>
    <s v="East-Bob"/>
    <n v="1112.5999999999999"/>
    <n v="6.8001515762709783E-2"/>
    <n v="16361.400000000001"/>
  </r>
  <r>
    <n v="1063"/>
    <x v="111"/>
    <s v="Charlie"/>
    <s v="West"/>
    <x v="709"/>
    <n v="46"/>
    <x v="0"/>
    <n v="2302.62"/>
    <n v="2740.93"/>
    <s v="Returning"/>
    <n v="0.25"/>
    <s v="Bank Transfer"/>
    <s v="Online"/>
    <s v="West-Charlie"/>
    <n v="20162.259999999998"/>
    <n v="0.15991287628651588"/>
    <n v="126082.78"/>
  </r>
  <r>
    <n v="1025"/>
    <x v="229"/>
    <s v="Bob"/>
    <s v="East"/>
    <x v="710"/>
    <n v="14"/>
    <x v="3"/>
    <n v="859.59"/>
    <n v="884.51"/>
    <s v="New"/>
    <n v="0.12"/>
    <s v="Bank Transfer"/>
    <s v="Online"/>
    <s v="East-Bob"/>
    <n v="348.87999999999943"/>
    <n v="2.8173791138596468E-2"/>
    <n v="12383.14"/>
  </r>
  <r>
    <n v="1056"/>
    <x v="229"/>
    <s v="Eve"/>
    <s v="North"/>
    <x v="711"/>
    <n v="37"/>
    <x v="3"/>
    <n v="1555.41"/>
    <n v="1609.94"/>
    <s v="Returning"/>
    <n v="0.16"/>
    <s v="Credit Card"/>
    <s v="Online"/>
    <s v="North-Eve"/>
    <n v="2017.609999999999"/>
    <n v="3.3870827484254053E-2"/>
    <n v="59567.78"/>
  </r>
  <r>
    <n v="1033"/>
    <x v="304"/>
    <s v="Eve"/>
    <s v="East"/>
    <x v="712"/>
    <n v="18"/>
    <x v="0"/>
    <n v="3124.48"/>
    <n v="3553.27"/>
    <s v="Returning"/>
    <n v="0.12"/>
    <s v="Cash"/>
    <s v="Retail"/>
    <s v="East-Eve"/>
    <n v="7718.2199999999993"/>
    <n v="0.1206747587433547"/>
    <n v="63958.86"/>
  </r>
  <r>
    <n v="1038"/>
    <x v="305"/>
    <s v="Eve"/>
    <s v="West"/>
    <x v="713"/>
    <n v="24"/>
    <x v="2"/>
    <n v="1543.91"/>
    <n v="1862.88"/>
    <s v="New"/>
    <n v="0.09"/>
    <s v="Bank Transfer"/>
    <s v="Online"/>
    <s v="West-Eve"/>
    <n v="7655.2800000000007"/>
    <n v="0.17122412608434254"/>
    <n v="44709.120000000003"/>
  </r>
  <r>
    <n v="1006"/>
    <x v="278"/>
    <s v="Bob"/>
    <s v="East"/>
    <x v="714"/>
    <n v="14"/>
    <x v="1"/>
    <n v="4503.7299999999996"/>
    <n v="4879.8799999999901"/>
    <s v="New"/>
    <n v="0.24"/>
    <s v="Bank Transfer"/>
    <s v="Retail"/>
    <s v="East-Bob"/>
    <n v="5266.0999999998676"/>
    <n v="7.7081813487215114E-2"/>
    <n v="68318.319999999861"/>
  </r>
  <r>
    <n v="1058"/>
    <x v="147"/>
    <s v="David"/>
    <s v="North"/>
    <x v="715"/>
    <n v="34"/>
    <x v="3"/>
    <n v="3160.61"/>
    <n v="3273.22"/>
    <s v="Returning"/>
    <n v="0.08"/>
    <s v="Credit Card"/>
    <s v="Retail"/>
    <s v="North-David"/>
    <n v="3828.7399999999889"/>
    <n v="3.4403431483371015E-2"/>
    <n v="111289.48"/>
  </r>
  <r>
    <n v="1044"/>
    <x v="306"/>
    <s v="David"/>
    <s v="West"/>
    <x v="716"/>
    <n v="12"/>
    <x v="3"/>
    <n v="2221.31"/>
    <n v="2494.48"/>
    <s v="Returning"/>
    <n v="0.22"/>
    <s v="Bank Transfer"/>
    <s v="Online"/>
    <s v="West-David"/>
    <n v="3278.0400000000009"/>
    <n v="0.10950979763317407"/>
    <n v="29933.760000000002"/>
  </r>
  <r>
    <n v="1045"/>
    <x v="307"/>
    <s v="Alice"/>
    <s v="West"/>
    <x v="717"/>
    <n v="22"/>
    <x v="2"/>
    <n v="241.85"/>
    <n v="613.09"/>
    <s v="Returning"/>
    <n v="0.06"/>
    <s v="Cash"/>
    <s v="Online"/>
    <s v="West-Alice"/>
    <n v="8167.2800000000007"/>
    <n v="0.60552284330196215"/>
    <n v="13487.980000000001"/>
  </r>
  <r>
    <n v="1032"/>
    <x v="253"/>
    <s v="Eve"/>
    <s v="North"/>
    <x v="718"/>
    <n v="6"/>
    <x v="2"/>
    <n v="2522.7600000000002"/>
    <n v="2840.14"/>
    <s v="Returning"/>
    <n v="7.0000000000000007E-2"/>
    <s v="Credit Card"/>
    <s v="Retail"/>
    <s v="North-Eve"/>
    <n v="1904.2799999999979"/>
    <n v="0.11174801242192274"/>
    <n v="17040.84"/>
  </r>
  <r>
    <n v="1045"/>
    <x v="277"/>
    <s v="David"/>
    <s v="North"/>
    <x v="719"/>
    <n v="36"/>
    <x v="3"/>
    <n v="3835.64"/>
    <n v="4076.77"/>
    <s v="Returning"/>
    <n v="0.1"/>
    <s v="Credit Card"/>
    <s v="Retail"/>
    <s v="North-David"/>
    <n v="8680.6800000000039"/>
    <n v="5.9147315153908635E-2"/>
    <n v="146763.72"/>
  </r>
  <r>
    <n v="1061"/>
    <x v="64"/>
    <s v="Alice"/>
    <s v="North"/>
    <x v="720"/>
    <n v="45"/>
    <x v="2"/>
    <n v="1364.51"/>
    <n v="1844.8"/>
    <s v="Returning"/>
    <n v="0.18"/>
    <s v="Cash"/>
    <s v="Online"/>
    <s v="North-Alice"/>
    <n v="21613.05"/>
    <n v="0.26034800520381612"/>
    <n v="83016"/>
  </r>
  <r>
    <n v="1047"/>
    <x v="308"/>
    <s v="David"/>
    <s v="North"/>
    <x v="721"/>
    <n v="36"/>
    <x v="1"/>
    <n v="4043.53"/>
    <n v="4384.8500000000004"/>
    <s v="New"/>
    <n v="0.14000000000000001"/>
    <s v="Cash"/>
    <s v="Online"/>
    <s v="North-David"/>
    <n v="12287.520000000006"/>
    <n v="7.7840747117917414E-2"/>
    <n v="157854.6"/>
  </r>
  <r>
    <n v="1021"/>
    <x v="309"/>
    <s v="Eve"/>
    <s v="North"/>
    <x v="722"/>
    <n v="22"/>
    <x v="3"/>
    <n v="1296.44"/>
    <n v="1751.24"/>
    <s v="New"/>
    <n v="0.22"/>
    <s v="Cash"/>
    <s v="Online"/>
    <s v="North-Eve"/>
    <n v="10005.599999999999"/>
    <n v="0.25970169708320956"/>
    <n v="38527.279999999999"/>
  </r>
  <r>
    <n v="1080"/>
    <x v="217"/>
    <s v="Charlie"/>
    <s v="West"/>
    <x v="723"/>
    <n v="14"/>
    <x v="1"/>
    <n v="4127.54"/>
    <n v="4495.13"/>
    <s v="New"/>
    <n v="0.06"/>
    <s v="Bank Transfer"/>
    <s v="Retail"/>
    <s v="West-Charlie"/>
    <n v="5146.260000000002"/>
    <n v="8.1775165568070365E-2"/>
    <n v="62931.82"/>
  </r>
  <r>
    <n v="1085"/>
    <x v="212"/>
    <s v="Eve"/>
    <s v="West"/>
    <x v="724"/>
    <n v="16"/>
    <x v="1"/>
    <n v="472.08"/>
    <n v="842.46"/>
    <s v="New"/>
    <n v="0"/>
    <s v="Cash"/>
    <s v="Retail"/>
    <s v="West-Eve"/>
    <n v="5926.0800000000008"/>
    <n v="0.439641051207179"/>
    <n v="13479.36"/>
  </r>
  <r>
    <n v="1075"/>
    <x v="48"/>
    <s v="Bob"/>
    <s v="East"/>
    <x v="725"/>
    <n v="36"/>
    <x v="2"/>
    <n v="4337.6099999999997"/>
    <n v="4386.82"/>
    <s v="Returning"/>
    <n v="0.23"/>
    <s v="Credit Card"/>
    <s v="Online"/>
    <s v="East-Bob"/>
    <n v="1771.5600000000013"/>
    <n v="1.1217692998573007E-2"/>
    <n v="157925.51999999999"/>
  </r>
  <r>
    <n v="1036"/>
    <x v="236"/>
    <s v="David"/>
    <s v="East"/>
    <x v="726"/>
    <n v="25"/>
    <x v="1"/>
    <n v="2520.9699999999998"/>
    <n v="2707.1099999999901"/>
    <s v="New"/>
    <n v="0.25"/>
    <s v="Cash"/>
    <s v="Retail"/>
    <s v="East-David"/>
    <n v="4653.4999999997581"/>
    <n v="6.8759673600256727E-2"/>
    <n v="67677.749999999753"/>
  </r>
  <r>
    <n v="1099"/>
    <x v="306"/>
    <s v="David"/>
    <s v="South"/>
    <x v="727"/>
    <n v="32"/>
    <x v="2"/>
    <n v="1517.86"/>
    <n v="1948.46"/>
    <s v="New"/>
    <n v="0.02"/>
    <s v="Credit Card"/>
    <s v="Online"/>
    <s v="South-David"/>
    <n v="13779.200000000004"/>
    <n v="0.22099504223848584"/>
    <n v="62350.720000000001"/>
  </r>
  <r>
    <n v="1019"/>
    <x v="310"/>
    <s v="Bob"/>
    <s v="East"/>
    <x v="728"/>
    <n v="33"/>
    <x v="0"/>
    <n v="1362.31"/>
    <n v="1486.29"/>
    <s v="Returning"/>
    <n v="0.18"/>
    <s v="Credit Card"/>
    <s v="Retail"/>
    <s v="East-Bob"/>
    <n v="4091.3400000000006"/>
    <n v="8.341575331866595E-2"/>
    <n v="49047.57"/>
  </r>
  <r>
    <n v="1020"/>
    <x v="207"/>
    <s v="Bob"/>
    <s v="East"/>
    <x v="729"/>
    <n v="45"/>
    <x v="2"/>
    <n v="2188.4499999999998"/>
    <n v="2255.0499999999902"/>
    <s v="New"/>
    <n v="0.11"/>
    <s v="Bank Transfer"/>
    <s v="Retail"/>
    <s v="East-Bob"/>
    <n v="2996.9999999995662"/>
    <n v="2.9533713221432185E-2"/>
    <n v="101477.24999999956"/>
  </r>
  <r>
    <n v="1057"/>
    <x v="31"/>
    <s v="Charlie"/>
    <s v="North"/>
    <x v="730"/>
    <n v="36"/>
    <x v="1"/>
    <n v="4995.3"/>
    <n v="5165.09"/>
    <s v="Returning"/>
    <n v="0.24"/>
    <s v="Cash"/>
    <s v="Online"/>
    <s v="North-Charlie"/>
    <n v="6112.4399999999987"/>
    <n v="3.2872612093884125E-2"/>
    <n v="185943.24"/>
  </r>
  <r>
    <n v="1018"/>
    <x v="112"/>
    <s v="David"/>
    <s v="North"/>
    <x v="731"/>
    <n v="20"/>
    <x v="0"/>
    <n v="1140.6199999999999"/>
    <n v="1258.6299999999901"/>
    <s v="Returning"/>
    <n v="0.26"/>
    <s v="Bank Transfer"/>
    <s v="Online"/>
    <s v="North-David"/>
    <n v="2360.1999999998043"/>
    <n v="9.3760676290880668E-2"/>
    <n v="25172.599999999802"/>
  </r>
  <r>
    <n v="1047"/>
    <x v="294"/>
    <s v="David"/>
    <s v="East"/>
    <x v="732"/>
    <n v="18"/>
    <x v="2"/>
    <n v="560.91999999999996"/>
    <n v="1024.31"/>
    <s v="Returning"/>
    <n v="0.26"/>
    <s v="Cash"/>
    <s v="Online"/>
    <s v="East-David"/>
    <n v="8341.02"/>
    <n v="0.45239234216204088"/>
    <n v="18437.579999999998"/>
  </r>
  <r>
    <n v="1049"/>
    <x v="147"/>
    <s v="Charlie"/>
    <s v="South"/>
    <x v="733"/>
    <n v="38"/>
    <x v="1"/>
    <n v="2945.92"/>
    <n v="3381.22"/>
    <s v="Returning"/>
    <n v="0.23"/>
    <s v="Cash"/>
    <s v="Retail"/>
    <s v="South-Charlie"/>
    <n v="16541.399999999991"/>
    <n v="0.1287405137790501"/>
    <n v="128486.35999999999"/>
  </r>
  <r>
    <n v="1014"/>
    <x v="189"/>
    <s v="Alice"/>
    <s v="North"/>
    <x v="734"/>
    <n v="3"/>
    <x v="3"/>
    <n v="2468.29"/>
    <n v="2723.13"/>
    <s v="Returning"/>
    <n v="0.08"/>
    <s v="Cash"/>
    <s v="Retail"/>
    <s v="North-Alice"/>
    <n v="764.52000000000044"/>
    <n v="9.3583486649554057E-2"/>
    <n v="8169.39"/>
  </r>
  <r>
    <n v="1015"/>
    <x v="118"/>
    <s v="Charlie"/>
    <s v="East"/>
    <x v="735"/>
    <n v="23"/>
    <x v="3"/>
    <n v="2644.77"/>
    <n v="2684.83"/>
    <s v="New"/>
    <n v="0.24"/>
    <s v="Cash"/>
    <s v="Online"/>
    <s v="East-Charlie"/>
    <n v="921.37999999999874"/>
    <n v="1.4920870222695644E-2"/>
    <n v="61751.09"/>
  </r>
  <r>
    <n v="1031"/>
    <x v="218"/>
    <s v="Eve"/>
    <s v="East"/>
    <x v="736"/>
    <n v="32"/>
    <x v="2"/>
    <n v="3351.33"/>
    <n v="3711.47"/>
    <s v="New"/>
    <n v="0.16"/>
    <s v="Cash"/>
    <s v="Retail"/>
    <s v="East-Eve"/>
    <n v="11524.479999999996"/>
    <n v="9.7034328716115142E-2"/>
    <n v="118767.03999999999"/>
  </r>
  <r>
    <n v="1001"/>
    <x v="64"/>
    <s v="David"/>
    <s v="West"/>
    <x v="737"/>
    <n v="45"/>
    <x v="2"/>
    <n v="1372.36"/>
    <n v="1687.83"/>
    <s v="New"/>
    <n v="0.02"/>
    <s v="Credit Card"/>
    <s v="Online"/>
    <s v="West-David"/>
    <n v="14196.150000000001"/>
    <n v="0.18690863416339326"/>
    <n v="75952.349999999991"/>
  </r>
  <r>
    <n v="1054"/>
    <x v="311"/>
    <s v="Bob"/>
    <s v="South"/>
    <x v="738"/>
    <n v="16"/>
    <x v="3"/>
    <n v="4557.79"/>
    <n v="5043.3599999999997"/>
    <s v="Returning"/>
    <n v="0.14000000000000001"/>
    <s v="Credit Card"/>
    <s v="Retail"/>
    <s v="South-Bob"/>
    <n v="7769.1199999999953"/>
    <n v="9.6279067922971931E-2"/>
    <n v="80693.759999999995"/>
  </r>
  <r>
    <n v="1003"/>
    <x v="312"/>
    <s v="Eve"/>
    <s v="West"/>
    <x v="739"/>
    <n v="5"/>
    <x v="1"/>
    <n v="2206.58"/>
    <n v="2490.4699999999998"/>
    <s v="New"/>
    <n v="0.28000000000000003"/>
    <s v="Cash"/>
    <s v="Online"/>
    <s v="West-Eve"/>
    <n v="1419.4499999999994"/>
    <n v="0.11399053190763185"/>
    <n v="12452.349999999999"/>
  </r>
  <r>
    <n v="1016"/>
    <x v="313"/>
    <s v="David"/>
    <s v="South"/>
    <x v="740"/>
    <n v="4"/>
    <x v="1"/>
    <n v="688.98"/>
    <n v="863.81"/>
    <s v="New"/>
    <n v="0.27"/>
    <s v="Credit Card"/>
    <s v="Retail"/>
    <s v="South-David"/>
    <n v="699.31999999999971"/>
    <n v="0.20239404498674471"/>
    <n v="3455.24"/>
  </r>
  <r>
    <n v="1087"/>
    <x v="267"/>
    <s v="Charlie"/>
    <s v="North"/>
    <x v="741"/>
    <n v="21"/>
    <x v="1"/>
    <n v="3724.38"/>
    <n v="3988.7"/>
    <s v="New"/>
    <n v="0.03"/>
    <s v="Bank Transfer"/>
    <s v="Retail"/>
    <s v="North-Charlie"/>
    <n v="5550.7199999999939"/>
    <n v="6.6267204853711667E-2"/>
    <n v="83762.7"/>
  </r>
  <r>
    <n v="1057"/>
    <x v="105"/>
    <s v="Eve"/>
    <s v="South"/>
    <x v="742"/>
    <n v="40"/>
    <x v="2"/>
    <n v="3233.37"/>
    <n v="3723.21"/>
    <s v="New"/>
    <n v="0.22"/>
    <s v="Bank Transfer"/>
    <s v="Retail"/>
    <s v="South-Eve"/>
    <n v="19593.600000000006"/>
    <n v="0.13156389244764602"/>
    <n v="148928.4"/>
  </r>
  <r>
    <n v="1075"/>
    <x v="185"/>
    <s v="David"/>
    <s v="East"/>
    <x v="743"/>
    <n v="14"/>
    <x v="0"/>
    <n v="1612.93"/>
    <n v="1964.15"/>
    <s v="Returning"/>
    <n v="0.24"/>
    <s v="Bank Transfer"/>
    <s v="Retail"/>
    <s v="East-David"/>
    <n v="4917.08"/>
    <n v="0.17881526360003053"/>
    <n v="27498.100000000002"/>
  </r>
  <r>
    <n v="1012"/>
    <x v="73"/>
    <s v="Alice"/>
    <s v="East"/>
    <x v="744"/>
    <n v="39"/>
    <x v="0"/>
    <n v="3126.52"/>
    <n v="3465.79"/>
    <s v="New"/>
    <n v="0.08"/>
    <s v="Cash"/>
    <s v="Online"/>
    <s v="East-Alice"/>
    <n v="13231.529999999999"/>
    <n v="9.7891101307349834E-2"/>
    <n v="135165.81"/>
  </r>
  <r>
    <n v="1074"/>
    <x v="248"/>
    <s v="Alice"/>
    <s v="South"/>
    <x v="745"/>
    <n v="31"/>
    <x v="0"/>
    <n v="1138.32"/>
    <n v="1266.25"/>
    <s v="Returning"/>
    <n v="0.14000000000000001"/>
    <s v="Cash"/>
    <s v="Retail"/>
    <s v="South-Alice"/>
    <n v="3965.8300000000017"/>
    <n v="0.10103060217176707"/>
    <n v="39253.75"/>
  </r>
  <r>
    <n v="1096"/>
    <x v="309"/>
    <s v="Bob"/>
    <s v="South"/>
    <x v="746"/>
    <n v="14"/>
    <x v="0"/>
    <n v="2251.9499999999998"/>
    <n v="2626.3199999999902"/>
    <s v="Returning"/>
    <n v="0.21"/>
    <s v="Credit Card"/>
    <s v="Online"/>
    <s v="South-Bob"/>
    <n v="5241.1799999998648"/>
    <n v="0.14254546285296221"/>
    <n v="36768.479999999865"/>
  </r>
  <r>
    <n v="1016"/>
    <x v="55"/>
    <s v="David"/>
    <s v="South"/>
    <x v="747"/>
    <n v="6"/>
    <x v="0"/>
    <n v="4502.09"/>
    <n v="4879.72"/>
    <s v="New"/>
    <n v="0.13"/>
    <s v="Credit Card"/>
    <s v="Online"/>
    <s v="South-David"/>
    <n v="2265.7800000000007"/>
    <n v="7.7387636995565348E-2"/>
    <n v="29278.32"/>
  </r>
  <r>
    <n v="1072"/>
    <x v="314"/>
    <s v="Alice"/>
    <s v="West"/>
    <x v="748"/>
    <n v="12"/>
    <x v="2"/>
    <n v="710.99"/>
    <n v="876.46"/>
    <s v="Returning"/>
    <n v="0.03"/>
    <s v="Credit Card"/>
    <s v="Online"/>
    <s v="West-Alice"/>
    <n v="1985.6400000000003"/>
    <n v="0.18879355589530614"/>
    <n v="10517.52"/>
  </r>
  <r>
    <n v="1076"/>
    <x v="172"/>
    <s v="Charlie"/>
    <s v="South"/>
    <x v="749"/>
    <n v="16"/>
    <x v="2"/>
    <n v="1964.15"/>
    <n v="2211.17"/>
    <s v="Returning"/>
    <n v="0.21"/>
    <s v="Bank Transfer"/>
    <s v="Online"/>
    <s v="South-Charlie"/>
    <n v="3952.3199999999997"/>
    <n v="0.11171461262589488"/>
    <n v="35378.720000000001"/>
  </r>
  <r>
    <n v="1024"/>
    <x v="143"/>
    <s v="David"/>
    <s v="North"/>
    <x v="750"/>
    <n v="17"/>
    <x v="0"/>
    <n v="4114.66"/>
    <n v="4269.0199999999904"/>
    <s v="Returning"/>
    <n v="0.27"/>
    <s v="Bank Transfer"/>
    <s v="Retail"/>
    <s v="North-David"/>
    <n v="2624.1199999998398"/>
    <n v="3.6158181503012615E-2"/>
    <n v="72573.339999999836"/>
  </r>
  <r>
    <n v="1028"/>
    <x v="34"/>
    <s v="Charlie"/>
    <s v="West"/>
    <x v="751"/>
    <n v="45"/>
    <x v="2"/>
    <n v="4848.9799999999996"/>
    <n v="4985.75"/>
    <s v="Returning"/>
    <n v="0.2"/>
    <s v="Bank Transfer"/>
    <s v="Online"/>
    <s v="West-Charlie"/>
    <n v="6154.6500000000196"/>
    <n v="2.743218171789609E-2"/>
    <n v="224358.75"/>
  </r>
  <r>
    <n v="1008"/>
    <x v="266"/>
    <s v="Charlie"/>
    <s v="West"/>
    <x v="752"/>
    <n v="23"/>
    <x v="2"/>
    <n v="2296.9299999999998"/>
    <n v="2319.62"/>
    <s v="Returning"/>
    <n v="0.23"/>
    <s v="Bank Transfer"/>
    <s v="Retail"/>
    <s v="West-Charlie"/>
    <n v="521.87000000000126"/>
    <n v="9.7817746010122591E-3"/>
    <n v="53351.259999999995"/>
  </r>
  <r>
    <n v="1092"/>
    <x v="217"/>
    <s v="Alice"/>
    <s v="South"/>
    <x v="753"/>
    <n v="14"/>
    <x v="0"/>
    <n v="2559.65"/>
    <n v="2709.4"/>
    <s v="Returning"/>
    <n v="0.11"/>
    <s v="Credit Card"/>
    <s v="Retail"/>
    <s v="South-Alice"/>
    <n v="2096.5"/>
    <n v="5.5270539602864106E-2"/>
    <n v="37931.599999999999"/>
  </r>
  <r>
    <n v="1036"/>
    <x v="176"/>
    <s v="David"/>
    <s v="North"/>
    <x v="754"/>
    <n v="7"/>
    <x v="1"/>
    <n v="2882.25"/>
    <n v="3163.7"/>
    <s v="Returning"/>
    <n v="0.05"/>
    <s v="Cash"/>
    <s v="Retail"/>
    <s v="North-David"/>
    <n v="1970.1499999999987"/>
    <n v="8.8962290988399612E-2"/>
    <n v="22145.899999999998"/>
  </r>
  <r>
    <n v="1090"/>
    <x v="13"/>
    <s v="Eve"/>
    <s v="West"/>
    <x v="755"/>
    <n v="46"/>
    <x v="2"/>
    <n v="4665.12"/>
    <n v="4675.8999999999996"/>
    <s v="New"/>
    <n v="0.19"/>
    <s v="Cash"/>
    <s v="Retail"/>
    <s v="West-Eve"/>
    <n v="495.87999999998829"/>
    <n v="2.3054385252036496E-3"/>
    <n v="215091.4"/>
  </r>
  <r>
    <n v="1008"/>
    <x v="315"/>
    <s v="Alice"/>
    <s v="East"/>
    <x v="756"/>
    <n v="32"/>
    <x v="1"/>
    <n v="4298.12"/>
    <n v="4446.8999999999996"/>
    <s v="New"/>
    <n v="0.1"/>
    <s v="Bank Transfer"/>
    <s v="Online"/>
    <s v="East-Alice"/>
    <n v="4760.9599999999919"/>
    <n v="3.3457014999212879E-2"/>
    <n v="142300.79999999999"/>
  </r>
  <r>
    <n v="1058"/>
    <x v="49"/>
    <s v="Alice"/>
    <s v="West"/>
    <x v="757"/>
    <n v="15"/>
    <x v="2"/>
    <n v="894.48"/>
    <n v="1336.37"/>
    <s v="Returning"/>
    <n v="0.26"/>
    <s v="Cash"/>
    <s v="Retail"/>
    <s v="West-Alice"/>
    <n v="6628.3499999999985"/>
    <n v="0.33066441180212058"/>
    <n v="20045.55"/>
  </r>
  <r>
    <n v="1060"/>
    <x v="316"/>
    <s v="David"/>
    <s v="South"/>
    <x v="758"/>
    <n v="44"/>
    <x v="2"/>
    <n v="2211.9499999999998"/>
    <n v="2512.8399999999901"/>
    <s v="Returning"/>
    <n v="0.04"/>
    <s v="Cash"/>
    <s v="Online"/>
    <s v="South-David"/>
    <n v="13239.159999999574"/>
    <n v="0.11974101017175447"/>
    <n v="110564.95999999957"/>
  </r>
  <r>
    <n v="1050"/>
    <x v="314"/>
    <s v="David"/>
    <s v="North"/>
    <x v="759"/>
    <n v="17"/>
    <x v="0"/>
    <n v="2346.8000000000002"/>
    <n v="2654.65"/>
    <s v="New"/>
    <n v="0.13"/>
    <s v="Cash"/>
    <s v="Retail"/>
    <s v="North-David"/>
    <n v="5233.4499999999989"/>
    <n v="0.11596632324411878"/>
    <n v="45129.05"/>
  </r>
  <r>
    <n v="1028"/>
    <x v="185"/>
    <s v="Charlie"/>
    <s v="South"/>
    <x v="760"/>
    <n v="41"/>
    <x v="2"/>
    <n v="3956.03"/>
    <n v="4163.68"/>
    <s v="New"/>
    <n v="0.12"/>
    <s v="Bank Transfer"/>
    <s v="Retail"/>
    <s v="South-Charlie"/>
    <n v="8513.6500000000033"/>
    <n v="4.9871748069015891E-2"/>
    <n v="170710.88"/>
  </r>
  <r>
    <n v="1092"/>
    <x v="78"/>
    <s v="David"/>
    <s v="East"/>
    <x v="761"/>
    <n v="47"/>
    <x v="3"/>
    <n v="3034.32"/>
    <n v="3375.79"/>
    <s v="New"/>
    <n v="0.28000000000000003"/>
    <s v="Credit Card"/>
    <s v="Online"/>
    <s v="East-David"/>
    <n v="16049.089999999991"/>
    <n v="0.10115261909064242"/>
    <n v="158662.13"/>
  </r>
  <r>
    <n v="1041"/>
    <x v="88"/>
    <s v="Charlie"/>
    <s v="East"/>
    <x v="762"/>
    <n v="44"/>
    <x v="3"/>
    <n v="3288.39"/>
    <n v="3391.46"/>
    <s v="New"/>
    <n v="0.05"/>
    <s v="Credit Card"/>
    <s v="Retail"/>
    <s v="East-Charlie"/>
    <n v="4535.0800000000072"/>
    <n v="3.0391041026578573E-2"/>
    <n v="149224.24"/>
  </r>
  <r>
    <n v="1100"/>
    <x v="38"/>
    <s v="Alice"/>
    <s v="East"/>
    <x v="763"/>
    <n v="34"/>
    <x v="0"/>
    <n v="4991.09"/>
    <n v="5402.28"/>
    <s v="Returning"/>
    <n v="0"/>
    <s v="Cash"/>
    <s v="Retail"/>
    <s v="East-Alice"/>
    <n v="13980.459999999986"/>
    <n v="7.6114159206853327E-2"/>
    <n v="183677.52"/>
  </r>
  <r>
    <n v="1064"/>
    <x v="195"/>
    <s v="Bob"/>
    <s v="South"/>
    <x v="764"/>
    <n v="5"/>
    <x v="1"/>
    <n v="421.05"/>
    <n v="488.23"/>
    <s v="Returning"/>
    <n v="7.0000000000000007E-2"/>
    <s v="Credit Card"/>
    <s v="Retail"/>
    <s v="South-Bob"/>
    <n v="335.90000000000003"/>
    <n v="0.13759908239968868"/>
    <n v="2441.15"/>
  </r>
  <r>
    <n v="1027"/>
    <x v="299"/>
    <s v="Eve"/>
    <s v="West"/>
    <x v="765"/>
    <n v="45"/>
    <x v="1"/>
    <n v="1153.9000000000001"/>
    <n v="1485.34"/>
    <s v="New"/>
    <n v="0.25"/>
    <s v="Credit Card"/>
    <s v="Retail"/>
    <s v="West-Eve"/>
    <n v="14914.799999999992"/>
    <n v="0.22314082970902271"/>
    <n v="66840.3"/>
  </r>
  <r>
    <n v="1063"/>
    <x v="235"/>
    <s v="Alice"/>
    <s v="South"/>
    <x v="766"/>
    <n v="27"/>
    <x v="1"/>
    <n v="2069.08"/>
    <n v="2246.2399999999998"/>
    <s v="New"/>
    <n v="0.06"/>
    <s v="Bank Transfer"/>
    <s v="Retail"/>
    <s v="South-Alice"/>
    <n v="4783.3199999999961"/>
    <n v="7.8869577605242477E-2"/>
    <n v="60648.479999999996"/>
  </r>
  <r>
    <n v="1017"/>
    <x v="125"/>
    <s v="David"/>
    <s v="North"/>
    <x v="767"/>
    <n v="23"/>
    <x v="3"/>
    <n v="1771.52"/>
    <n v="2147.8000000000002"/>
    <s v="New"/>
    <n v="7.0000000000000007E-2"/>
    <s v="Bank Transfer"/>
    <s v="Online"/>
    <s v="North-David"/>
    <n v="8654.4400000000041"/>
    <n v="0.17519322097029527"/>
    <n v="49399.4"/>
  </r>
  <r>
    <n v="1073"/>
    <x v="317"/>
    <s v="Eve"/>
    <s v="West"/>
    <x v="768"/>
    <n v="40"/>
    <x v="1"/>
    <n v="157.15"/>
    <n v="436.53"/>
    <s v="New"/>
    <n v="0.04"/>
    <s v="Cash"/>
    <s v="Retail"/>
    <s v="West-Eve"/>
    <n v="11175.2"/>
    <n v="0.6400018326346415"/>
    <n v="17461.199999999997"/>
  </r>
  <r>
    <n v="1033"/>
    <x v="318"/>
    <s v="Bob"/>
    <s v="East"/>
    <x v="769"/>
    <n v="14"/>
    <x v="1"/>
    <n v="504.3"/>
    <n v="735.95"/>
    <s v="Returning"/>
    <n v="0.21"/>
    <s v="Cash"/>
    <s v="Retail"/>
    <s v="East-Bob"/>
    <n v="3243.1000000000004"/>
    <n v="0.31476323119777161"/>
    <n v="10303.300000000001"/>
  </r>
  <r>
    <n v="1084"/>
    <x v="50"/>
    <s v="Bob"/>
    <s v="South"/>
    <x v="770"/>
    <n v="15"/>
    <x v="0"/>
    <n v="3420.72"/>
    <n v="3513.74"/>
    <s v="New"/>
    <n v="0.02"/>
    <s v="Cash"/>
    <s v="Online"/>
    <s v="South-Bob"/>
    <n v="1395.2999999999997"/>
    <n v="2.6473216572654775E-2"/>
    <n v="52706.1"/>
  </r>
  <r>
    <n v="1077"/>
    <x v="244"/>
    <s v="Charlie"/>
    <s v="East"/>
    <x v="771"/>
    <n v="43"/>
    <x v="1"/>
    <n v="4402.66"/>
    <n v="4724.7"/>
    <s v="New"/>
    <n v="0.1"/>
    <s v="Bank Transfer"/>
    <s v="Retail"/>
    <s v="East-Charlie"/>
    <n v="13847.719999999998"/>
    <n v="6.8160941435435038E-2"/>
    <n v="203162.1"/>
  </r>
  <r>
    <n v="1092"/>
    <x v="319"/>
    <s v="Eve"/>
    <s v="East"/>
    <x v="772"/>
    <n v="33"/>
    <x v="3"/>
    <n v="2595.42"/>
    <n v="3083.06"/>
    <s v="New"/>
    <n v="0.08"/>
    <s v="Credit Card"/>
    <s v="Online"/>
    <s v="East-Eve"/>
    <n v="16092.119999999995"/>
    <n v="0.15816753485173818"/>
    <n v="101740.98"/>
  </r>
  <r>
    <n v="1029"/>
    <x v="172"/>
    <s v="Charlie"/>
    <s v="North"/>
    <x v="773"/>
    <n v="31"/>
    <x v="3"/>
    <n v="2719"/>
    <n v="3133.55"/>
    <s v="Returning"/>
    <n v="0.17"/>
    <s v="Bank Transfer"/>
    <s v="Retail"/>
    <s v="North-Charlie"/>
    <n v="12851.050000000007"/>
    <n v="0.13229404349699228"/>
    <n v="97140.05"/>
  </r>
  <r>
    <n v="1013"/>
    <x v="267"/>
    <s v="Alice"/>
    <s v="West"/>
    <x v="774"/>
    <n v="35"/>
    <x v="3"/>
    <n v="1312.71"/>
    <n v="1352.11"/>
    <s v="Returning"/>
    <n v="0.22"/>
    <s v="Bank Transfer"/>
    <s v="Retail"/>
    <s v="West-Alice"/>
    <n v="1378.9999999999952"/>
    <n v="2.9139641005539389E-2"/>
    <n v="47323.85"/>
  </r>
  <r>
    <n v="1046"/>
    <x v="251"/>
    <s v="Eve"/>
    <s v="North"/>
    <x v="775"/>
    <n v="17"/>
    <x v="0"/>
    <n v="3850.99"/>
    <n v="4045.3399999999901"/>
    <s v="Returning"/>
    <n v="0.16"/>
    <s v="Credit Card"/>
    <s v="Online"/>
    <s v="North-Eve"/>
    <n v="3303.9499999998361"/>
    <n v="4.8042933350470128E-2"/>
    <n v="68770.779999999839"/>
  </r>
  <r>
    <n v="1035"/>
    <x v="320"/>
    <s v="Alice"/>
    <s v="North"/>
    <x v="776"/>
    <n v="28"/>
    <x v="0"/>
    <n v="3771.38"/>
    <n v="4234.92"/>
    <s v="New"/>
    <n v="0.28000000000000003"/>
    <s v="Credit Card"/>
    <s v="Retail"/>
    <s v="North-Alice"/>
    <n v="12979.119999999999"/>
    <n v="0.10945661311193598"/>
    <n v="118577.76000000001"/>
  </r>
  <r>
    <n v="1006"/>
    <x v="211"/>
    <s v="Charlie"/>
    <s v="North"/>
    <x v="777"/>
    <n v="19"/>
    <x v="2"/>
    <n v="2962.41"/>
    <n v="3218.8999999999901"/>
    <s v="New"/>
    <n v="0.28999999999999998"/>
    <s v="Cash"/>
    <s v="Retail"/>
    <s v="North-Charlie"/>
    <n v="4873.309999999814"/>
    <n v="7.9682500232996056E-2"/>
    <n v="61159.099999999809"/>
  </r>
  <r>
    <n v="1082"/>
    <x v="150"/>
    <s v="Eve"/>
    <s v="East"/>
    <x v="778"/>
    <n v="46"/>
    <x v="1"/>
    <n v="1102.69"/>
    <n v="1437.12"/>
    <s v="New"/>
    <n v="0.11"/>
    <s v="Credit Card"/>
    <s v="Online"/>
    <s v="East-Eve"/>
    <n v="15383.779999999992"/>
    <n v="0.23270847250055657"/>
    <n v="66107.51999999999"/>
  </r>
  <r>
    <n v="1069"/>
    <x v="321"/>
    <s v="Charlie"/>
    <s v="North"/>
    <x v="779"/>
    <n v="23"/>
    <x v="0"/>
    <n v="530.24"/>
    <n v="987.41"/>
    <s v="Returning"/>
    <n v="0.23"/>
    <s v="Credit Card"/>
    <s v="Online"/>
    <s v="North-Charlie"/>
    <n v="10514.91"/>
    <n v="0.46299915941706077"/>
    <n v="22710.43"/>
  </r>
  <r>
    <n v="1047"/>
    <x v="93"/>
    <s v="Eve"/>
    <s v="North"/>
    <x v="780"/>
    <n v="32"/>
    <x v="3"/>
    <n v="367.98"/>
    <n v="806.14"/>
    <s v="Returning"/>
    <n v="0.22"/>
    <s v="Credit Card"/>
    <s v="Retail"/>
    <s v="North-Eve"/>
    <n v="14021.119999999999"/>
    <n v="0.54352841938124885"/>
    <n v="25796.48"/>
  </r>
  <r>
    <n v="1025"/>
    <x v="319"/>
    <s v="Charlie"/>
    <s v="West"/>
    <x v="781"/>
    <n v="40"/>
    <x v="3"/>
    <n v="2983.85"/>
    <n v="3239.74"/>
    <s v="New"/>
    <n v="0.27"/>
    <s v="Credit Card"/>
    <s v="Online"/>
    <s v="West-Charlie"/>
    <n v="10235.599999999995"/>
    <n v="7.8984733342799082E-2"/>
    <n v="129589.59999999999"/>
  </r>
  <r>
    <n v="1066"/>
    <x v="193"/>
    <s v="Bob"/>
    <s v="West"/>
    <x v="782"/>
    <n v="13"/>
    <x v="0"/>
    <n v="4133.92"/>
    <n v="4358.37"/>
    <s v="New"/>
    <n v="0.13"/>
    <s v="Cash"/>
    <s v="Retail"/>
    <s v="West-Bob"/>
    <n v="2917.8499999999976"/>
    <n v="5.1498610719144959E-2"/>
    <n v="56658.81"/>
  </r>
  <r>
    <n v="1010"/>
    <x v="178"/>
    <s v="Charlie"/>
    <s v="North"/>
    <x v="783"/>
    <n v="20"/>
    <x v="0"/>
    <n v="4298.74"/>
    <n v="4475.1899999999996"/>
    <s v="Returning"/>
    <n v="0.16"/>
    <s v="Cash"/>
    <s v="Online"/>
    <s v="North-Charlie"/>
    <n v="3528.9999999999964"/>
    <n v="3.9428493538821781E-2"/>
    <n v="89503.799999999988"/>
  </r>
  <r>
    <n v="1056"/>
    <x v="322"/>
    <s v="Bob"/>
    <s v="West"/>
    <x v="784"/>
    <n v="35"/>
    <x v="0"/>
    <n v="2344.9299999999998"/>
    <n v="2707.25"/>
    <s v="New"/>
    <n v="0.12"/>
    <s v="Credit Card"/>
    <s v="Retail"/>
    <s v="West-Bob"/>
    <n v="12681.200000000006"/>
    <n v="0.13383322559793154"/>
    <n v="94753.75"/>
  </r>
  <r>
    <n v="1030"/>
    <x v="254"/>
    <s v="Charlie"/>
    <s v="West"/>
    <x v="785"/>
    <n v="5"/>
    <x v="2"/>
    <n v="3932.14"/>
    <n v="4082.7599999999902"/>
    <s v="New"/>
    <n v="0.26"/>
    <s v="Credit Card"/>
    <s v="Online"/>
    <s v="West-Charlie"/>
    <n v="753.09999999995171"/>
    <n v="3.6891710509554983E-2"/>
    <n v="20413.799999999952"/>
  </r>
  <r>
    <n v="1005"/>
    <x v="175"/>
    <s v="Eve"/>
    <s v="North"/>
    <x v="786"/>
    <n v="9"/>
    <x v="3"/>
    <n v="4737.0600000000004"/>
    <n v="4869.5"/>
    <s v="New"/>
    <n v="7.0000000000000007E-2"/>
    <s v="Cash"/>
    <s v="Online"/>
    <s v="North-Eve"/>
    <n v="1191.9599999999964"/>
    <n v="2.7197864257110505E-2"/>
    <n v="43825.5"/>
  </r>
  <r>
    <n v="1033"/>
    <x v="257"/>
    <s v="Eve"/>
    <s v="East"/>
    <x v="787"/>
    <n v="29"/>
    <x v="2"/>
    <n v="1412.09"/>
    <n v="1596.6499999999901"/>
    <s v="Returning"/>
    <n v="7.0000000000000007E-2"/>
    <s v="Cash"/>
    <s v="Online"/>
    <s v="East-Eve"/>
    <n v="5352.2399999997151"/>
    <n v="0.11559202079353102"/>
    <n v="46302.849999999715"/>
  </r>
  <r>
    <n v="1065"/>
    <x v="212"/>
    <s v="Eve"/>
    <s v="North"/>
    <x v="788"/>
    <n v="6"/>
    <x v="2"/>
    <n v="2019.9"/>
    <n v="2116.7399999999998"/>
    <s v="New"/>
    <n v="0.11"/>
    <s v="Credit Card"/>
    <s v="Online"/>
    <s v="North-Eve"/>
    <n v="581.03999999999814"/>
    <n v="4.5749596076986171E-2"/>
    <n v="12700.439999999999"/>
  </r>
  <r>
    <n v="1018"/>
    <x v="157"/>
    <s v="David"/>
    <s v="West"/>
    <x v="789"/>
    <n v="25"/>
    <x v="1"/>
    <n v="4660.82"/>
    <n v="5011.4299999999903"/>
    <s v="New"/>
    <n v="7.0000000000000007E-2"/>
    <s v="Bank Transfer"/>
    <s v="Online"/>
    <s v="West-David"/>
    <n v="8765.2499999997635"/>
    <n v="6.9962066715486645E-2"/>
    <n v="125285.74999999975"/>
  </r>
  <r>
    <n v="1096"/>
    <x v="323"/>
    <s v="Alice"/>
    <s v="East"/>
    <x v="790"/>
    <n v="31"/>
    <x v="3"/>
    <n v="1724.24"/>
    <n v="2036.2"/>
    <s v="New"/>
    <n v="0.17"/>
    <s v="Cash"/>
    <s v="Online"/>
    <s v="East-Alice"/>
    <n v="9670.760000000002"/>
    <n v="0.15320695413024263"/>
    <n v="63122.200000000004"/>
  </r>
  <r>
    <n v="1049"/>
    <x v="39"/>
    <s v="Eve"/>
    <s v="South"/>
    <x v="791"/>
    <n v="22"/>
    <x v="3"/>
    <n v="4573.6899999999996"/>
    <n v="4820.2999999999902"/>
    <s v="New"/>
    <n v="0.04"/>
    <s v="Cash"/>
    <s v="Online"/>
    <s v="South-Eve"/>
    <n v="5425.4199999997927"/>
    <n v="5.1160716137997858E-2"/>
    <n v="106046.59999999979"/>
  </r>
  <r>
    <n v="1011"/>
    <x v="324"/>
    <s v="Bob"/>
    <s v="East"/>
    <x v="792"/>
    <n v="2"/>
    <x v="0"/>
    <n v="4906.17"/>
    <n v="5107.43"/>
    <s v="Returning"/>
    <n v="0.1"/>
    <s v="Cash"/>
    <s v="Online"/>
    <s v="East-Bob"/>
    <n v="402.52000000000044"/>
    <n v="3.9405336930706872E-2"/>
    <n v="10214.86"/>
  </r>
  <r>
    <n v="1085"/>
    <x v="325"/>
    <s v="Eve"/>
    <s v="West"/>
    <x v="793"/>
    <n v="45"/>
    <x v="0"/>
    <n v="3325.96"/>
    <n v="3781.4"/>
    <s v="Returning"/>
    <n v="0.27"/>
    <s v="Credit Card"/>
    <s v="Online"/>
    <s v="West-Eve"/>
    <n v="20494.800000000003"/>
    <n v="0.12044216427778073"/>
    <n v="170163"/>
  </r>
  <r>
    <n v="1026"/>
    <x v="45"/>
    <s v="David"/>
    <s v="East"/>
    <x v="794"/>
    <n v="5"/>
    <x v="1"/>
    <n v="4093.61"/>
    <n v="4117.88"/>
    <s v="Returning"/>
    <n v="0.12"/>
    <s v="Credit Card"/>
    <s v="Retail"/>
    <s v="East-David"/>
    <n v="121.34999999999991"/>
    <n v="5.8938094359233346E-3"/>
    <n v="20589.400000000001"/>
  </r>
  <r>
    <n v="1063"/>
    <x v="11"/>
    <s v="Bob"/>
    <s v="North"/>
    <x v="795"/>
    <n v="27"/>
    <x v="2"/>
    <n v="3760.25"/>
    <n v="4147.1099999999997"/>
    <s v="New"/>
    <n v="0.22"/>
    <s v="Cash"/>
    <s v="Online"/>
    <s v="North-Bob"/>
    <n v="10445.21999999999"/>
    <n v="9.3284238903718411E-2"/>
    <n v="111971.96999999999"/>
  </r>
  <r>
    <n v="1089"/>
    <x v="178"/>
    <s v="David"/>
    <s v="South"/>
    <x v="796"/>
    <n v="25"/>
    <x v="0"/>
    <n v="3512.69"/>
    <n v="3964.63"/>
    <s v="Returning"/>
    <n v="0.03"/>
    <s v="Credit Card"/>
    <s v="Retail"/>
    <s v="South-David"/>
    <n v="11298.500000000002"/>
    <n v="0.11399298295175088"/>
    <n v="99115.75"/>
  </r>
  <r>
    <n v="1086"/>
    <x v="21"/>
    <s v="Bob"/>
    <s v="South"/>
    <x v="797"/>
    <n v="8"/>
    <x v="0"/>
    <n v="1569.31"/>
    <n v="1798.02"/>
    <s v="New"/>
    <n v="7.0000000000000007E-2"/>
    <s v="Credit Card"/>
    <s v="Online"/>
    <s v="South-Bob"/>
    <n v="1829.6800000000003"/>
    <n v="0.12720103224658239"/>
    <n v="14384.16"/>
  </r>
  <r>
    <n v="1059"/>
    <x v="292"/>
    <s v="Charlie"/>
    <s v="South"/>
    <x v="798"/>
    <n v="1"/>
    <x v="3"/>
    <n v="332.62"/>
    <n v="612.46"/>
    <s v="Returning"/>
    <n v="0.24"/>
    <s v="Cash"/>
    <s v="Retail"/>
    <s v="South-Charlie"/>
    <n v="279.84000000000003"/>
    <n v="0.45691147176958496"/>
    <n v="612.46"/>
  </r>
  <r>
    <n v="1027"/>
    <x v="118"/>
    <s v="Alice"/>
    <s v="West"/>
    <x v="799"/>
    <n v="20"/>
    <x v="3"/>
    <n v="1748.11"/>
    <n v="2220.9"/>
    <s v="New"/>
    <n v="0.23"/>
    <s v="Credit Card"/>
    <s v="Retail"/>
    <s v="West-Alice"/>
    <n v="9455.8000000000029"/>
    <n v="0.21288216488810849"/>
    <n v="44418"/>
  </r>
  <r>
    <n v="1049"/>
    <x v="326"/>
    <s v="Alice"/>
    <s v="West"/>
    <x v="800"/>
    <n v="44"/>
    <x v="0"/>
    <n v="3351.33"/>
    <n v="3465.35"/>
    <s v="Returning"/>
    <n v="0.12"/>
    <s v="Bank Transfer"/>
    <s v="Online"/>
    <s v="West-Alice"/>
    <n v="5016.8799999999992"/>
    <n v="3.2902881382832899E-2"/>
    <n v="152475.4"/>
  </r>
  <r>
    <n v="1077"/>
    <x v="178"/>
    <s v="David"/>
    <s v="South"/>
    <x v="801"/>
    <n v="23"/>
    <x v="3"/>
    <n v="557.52"/>
    <n v="822.39"/>
    <s v="Returning"/>
    <n v="0.28999999999999998"/>
    <s v="Credit Card"/>
    <s v="Online"/>
    <s v="South-David"/>
    <n v="6092.01"/>
    <n v="0.32207346879217891"/>
    <n v="18914.97"/>
  </r>
  <r>
    <n v="1033"/>
    <x v="121"/>
    <s v="Alice"/>
    <s v="East"/>
    <x v="802"/>
    <n v="32"/>
    <x v="1"/>
    <n v="108.99"/>
    <n v="351.6"/>
    <s v="Returning"/>
    <n v="0.27"/>
    <s v="Credit Card"/>
    <s v="Retail"/>
    <s v="East-Alice"/>
    <n v="7763.52"/>
    <n v="0.69001706484641634"/>
    <n v="11251.2"/>
  </r>
  <r>
    <n v="1098"/>
    <x v="37"/>
    <s v="David"/>
    <s v="South"/>
    <x v="803"/>
    <n v="11"/>
    <x v="0"/>
    <n v="741.48"/>
    <n v="878.09"/>
    <s v="New"/>
    <n v="0.28999999999999998"/>
    <s v="Cash"/>
    <s v="Retail"/>
    <s v="South-David"/>
    <n v="1502.71"/>
    <n v="0.15557630766777894"/>
    <n v="9658.99"/>
  </r>
  <r>
    <n v="1099"/>
    <x v="108"/>
    <s v="David"/>
    <s v="East"/>
    <x v="804"/>
    <n v="39"/>
    <x v="3"/>
    <n v="3592.89"/>
    <n v="4004"/>
    <s v="New"/>
    <n v="0.13"/>
    <s v="Cash"/>
    <s v="Online"/>
    <s v="East-David"/>
    <n v="16033.290000000005"/>
    <n v="0.10267482517482521"/>
    <n v="156156"/>
  </r>
  <r>
    <n v="1001"/>
    <x v="75"/>
    <s v="David"/>
    <s v="East"/>
    <x v="805"/>
    <n v="47"/>
    <x v="1"/>
    <n v="4865.33"/>
    <n v="5316.13"/>
    <s v="New"/>
    <n v="0.06"/>
    <s v="Bank Transfer"/>
    <s v="Online"/>
    <s v="East-David"/>
    <n v="21187.600000000009"/>
    <n v="8.4798528252695127E-2"/>
    <n v="249858.11000000002"/>
  </r>
  <r>
    <n v="1021"/>
    <x v="193"/>
    <s v="Alice"/>
    <s v="West"/>
    <x v="806"/>
    <n v="24"/>
    <x v="3"/>
    <n v="4916.17"/>
    <n v="5309.32"/>
    <s v="Returning"/>
    <n v="0.19"/>
    <s v="Credit Card"/>
    <s v="Online"/>
    <s v="West-Alice"/>
    <n v="9435.5999999999913"/>
    <n v="7.4049030761001347E-2"/>
    <n v="127423.67999999999"/>
  </r>
  <r>
    <n v="1055"/>
    <x v="76"/>
    <s v="David"/>
    <s v="East"/>
    <x v="807"/>
    <n v="11"/>
    <x v="3"/>
    <n v="2495.1999999999998"/>
    <n v="2600.9299999999998"/>
    <s v="New"/>
    <n v="0.21"/>
    <s v="Bank Transfer"/>
    <s v="Retail"/>
    <s v="East-David"/>
    <n v="1163.0300000000002"/>
    <n v="4.065084412114129E-2"/>
    <n v="28610.23"/>
  </r>
  <r>
    <n v="1006"/>
    <x v="320"/>
    <s v="Alice"/>
    <s v="South"/>
    <x v="808"/>
    <n v="29"/>
    <x v="3"/>
    <n v="4353.29"/>
    <n v="4405.8"/>
    <s v="New"/>
    <n v="0.04"/>
    <s v="Bank Transfer"/>
    <s v="Online"/>
    <s v="South-Alice"/>
    <n v="1522.7900000000063"/>
    <n v="1.1918380316855104E-2"/>
    <n v="127768.20000000001"/>
  </r>
  <r>
    <n v="1092"/>
    <x v="243"/>
    <s v="David"/>
    <s v="West"/>
    <x v="809"/>
    <n v="26"/>
    <x v="0"/>
    <n v="3697.29"/>
    <n v="4003.96"/>
    <s v="New"/>
    <n v="0.24"/>
    <s v="Cash"/>
    <s v="Online"/>
    <s v="West-David"/>
    <n v="7973.4200000000019"/>
    <n v="7.6591674242499935E-2"/>
    <n v="104102.96"/>
  </r>
  <r>
    <n v="1081"/>
    <x v="222"/>
    <s v="Eve"/>
    <s v="North"/>
    <x v="810"/>
    <n v="16"/>
    <x v="2"/>
    <n v="2530.15"/>
    <n v="2568.13"/>
    <s v="New"/>
    <n v="0.01"/>
    <s v="Credit Card"/>
    <s v="Online"/>
    <s v="North-Eve"/>
    <n v="607.68000000000029"/>
    <n v="1.4788970963307939E-2"/>
    <n v="41090.080000000002"/>
  </r>
  <r>
    <n v="1069"/>
    <x v="181"/>
    <s v="David"/>
    <s v="North"/>
    <x v="811"/>
    <n v="35"/>
    <x v="3"/>
    <n v="2885.16"/>
    <n v="3224.8399999999901"/>
    <s v="New"/>
    <n v="0.14000000000000001"/>
    <s v="Cash"/>
    <s v="Online"/>
    <s v="North-David"/>
    <n v="11888.799999999661"/>
    <n v="0.10533235757432659"/>
    <n v="112869.39999999966"/>
  </r>
  <r>
    <n v="1095"/>
    <x v="3"/>
    <s v="Bob"/>
    <s v="West"/>
    <x v="812"/>
    <n v="20"/>
    <x v="1"/>
    <n v="729.27"/>
    <n v="999.18"/>
    <s v="New"/>
    <n v="0.1"/>
    <s v="Bank Transfer"/>
    <s v="Online"/>
    <s v="West-Bob"/>
    <n v="5398.1999999999989"/>
    <n v="0.27013150783642581"/>
    <n v="19983.599999999999"/>
  </r>
  <r>
    <n v="1005"/>
    <x v="154"/>
    <s v="David"/>
    <s v="South"/>
    <x v="813"/>
    <n v="46"/>
    <x v="0"/>
    <n v="4691.42"/>
    <n v="5026.1899999999996"/>
    <s v="Returning"/>
    <n v="0.22"/>
    <s v="Bank Transfer"/>
    <s v="Retail"/>
    <s v="South-David"/>
    <n v="15399.419999999978"/>
    <n v="6.660512236903092E-2"/>
    <n v="231204.74"/>
  </r>
  <r>
    <n v="1003"/>
    <x v="327"/>
    <s v="Charlie"/>
    <s v="North"/>
    <x v="814"/>
    <n v="3"/>
    <x v="0"/>
    <n v="1792.05"/>
    <n v="2091.23"/>
    <s v="Returning"/>
    <n v="0.09"/>
    <s v="Cash"/>
    <s v="Retail"/>
    <s v="North-Charlie"/>
    <n v="897.54000000000019"/>
    <n v="0.14306412972269911"/>
    <n v="6273.6900000000005"/>
  </r>
  <r>
    <n v="1053"/>
    <x v="131"/>
    <s v="David"/>
    <s v="North"/>
    <x v="815"/>
    <n v="1"/>
    <x v="1"/>
    <n v="2258.44"/>
    <n v="2475.56"/>
    <s v="New"/>
    <n v="0.25"/>
    <s v="Cash"/>
    <s v="Online"/>
    <s v="North-David"/>
    <n v="217.11999999999989"/>
    <n v="8.7705408069285284E-2"/>
    <n v="2475.56"/>
  </r>
  <r>
    <n v="1023"/>
    <x v="296"/>
    <s v="Bob"/>
    <s v="East"/>
    <x v="816"/>
    <n v="47"/>
    <x v="3"/>
    <n v="3374.72"/>
    <n v="3483.1499999999901"/>
    <s v="Returning"/>
    <n v="0.18"/>
    <s v="Cash"/>
    <s v="Online"/>
    <s v="East-Bob"/>
    <n v="5096.2099999995435"/>
    <n v="3.1129868079178502E-2"/>
    <n v="163708.04999999952"/>
  </r>
  <r>
    <n v="1053"/>
    <x v="76"/>
    <s v="Bob"/>
    <s v="East"/>
    <x v="817"/>
    <n v="1"/>
    <x v="2"/>
    <n v="1702.82"/>
    <n v="1862.61"/>
    <s v="Returning"/>
    <n v="0.24"/>
    <s v="Cash"/>
    <s v="Retail"/>
    <s v="East-Bob"/>
    <n v="159.78999999999996"/>
    <n v="8.5788221903672787E-2"/>
    <n v="1862.61"/>
  </r>
  <r>
    <n v="1037"/>
    <x v="291"/>
    <s v="Alice"/>
    <s v="South"/>
    <x v="818"/>
    <n v="17"/>
    <x v="3"/>
    <n v="1308.58"/>
    <n v="1575.59"/>
    <s v="New"/>
    <n v="0.3"/>
    <s v="Cash"/>
    <s v="Online"/>
    <s v="South-Alice"/>
    <n v="4539.17"/>
    <n v="0.16946667597534892"/>
    <n v="26785.03"/>
  </r>
  <r>
    <n v="1074"/>
    <x v="216"/>
    <s v="Eve"/>
    <s v="West"/>
    <x v="819"/>
    <n v="2"/>
    <x v="1"/>
    <n v="3173.69"/>
    <n v="3503.11"/>
    <s v="New"/>
    <n v="0.2"/>
    <s v="Bank Transfer"/>
    <s v="Retail"/>
    <s v="West-Eve"/>
    <n v="658.84000000000015"/>
    <n v="9.4036441904479184E-2"/>
    <n v="7006.22"/>
  </r>
  <r>
    <n v="1074"/>
    <x v="160"/>
    <s v="David"/>
    <s v="South"/>
    <x v="820"/>
    <n v="29"/>
    <x v="0"/>
    <n v="173.67"/>
    <n v="565.62"/>
    <s v="Returning"/>
    <n v="0.3"/>
    <s v="Cash"/>
    <s v="Online"/>
    <s v="South-David"/>
    <n v="11366.550000000001"/>
    <n v="0.69295640182454665"/>
    <n v="16402.98"/>
  </r>
  <r>
    <n v="1083"/>
    <x v="325"/>
    <s v="Alice"/>
    <s v="West"/>
    <x v="821"/>
    <n v="20"/>
    <x v="2"/>
    <n v="3617.59"/>
    <n v="4003.5"/>
    <s v="New"/>
    <n v="0.01"/>
    <s v="Credit Card"/>
    <s v="Retail"/>
    <s v="West-Alice"/>
    <n v="7718.1999999999971"/>
    <n v="9.6393155988510018E-2"/>
    <n v="80070"/>
  </r>
  <r>
    <n v="1017"/>
    <x v="120"/>
    <s v="Eve"/>
    <s v="North"/>
    <x v="822"/>
    <n v="6"/>
    <x v="0"/>
    <n v="2594.42"/>
    <n v="3081.04"/>
    <s v="Returning"/>
    <n v="0.1"/>
    <s v="Bank Transfer"/>
    <s v="Retail"/>
    <s v="North-Eve"/>
    <n v="2919.7199999999993"/>
    <n v="0.15794017604445251"/>
    <n v="18486.239999999998"/>
  </r>
  <r>
    <n v="1085"/>
    <x v="201"/>
    <s v="David"/>
    <s v="East"/>
    <x v="823"/>
    <n v="8"/>
    <x v="1"/>
    <n v="3048.48"/>
    <n v="3198.54"/>
    <s v="Returning"/>
    <n v="0.03"/>
    <s v="Bank Transfer"/>
    <s v="Online"/>
    <s v="East-David"/>
    <n v="1200.4799999999996"/>
    <n v="4.6915155039486747E-2"/>
    <n v="25588.32"/>
  </r>
  <r>
    <n v="1078"/>
    <x v="315"/>
    <s v="Charlie"/>
    <s v="South"/>
    <x v="824"/>
    <n v="29"/>
    <x v="3"/>
    <n v="3177.81"/>
    <n v="3222.65"/>
    <s v="Returning"/>
    <n v="0.08"/>
    <s v="Credit Card"/>
    <s v="Retail"/>
    <s v="South-Charlie"/>
    <n v="1300.3600000000042"/>
    <n v="1.3914014863544022E-2"/>
    <n v="93456.85"/>
  </r>
  <r>
    <n v="1073"/>
    <x v="10"/>
    <s v="David"/>
    <s v="South"/>
    <x v="825"/>
    <n v="48"/>
    <x v="2"/>
    <n v="2658.9"/>
    <n v="2838.27"/>
    <s v="New"/>
    <n v="0.25"/>
    <s v="Credit Card"/>
    <s v="Online"/>
    <s v="South-David"/>
    <n v="8609.7599999999948"/>
    <n v="6.3196947436290382E-2"/>
    <n v="136236.96"/>
  </r>
  <r>
    <n v="1001"/>
    <x v="232"/>
    <s v="Bob"/>
    <s v="West"/>
    <x v="826"/>
    <n v="33"/>
    <x v="0"/>
    <n v="2933.54"/>
    <n v="3307.75"/>
    <s v="Returning"/>
    <n v="0.01"/>
    <s v="Bank Transfer"/>
    <s v="Retail"/>
    <s v="West-Bob"/>
    <n v="12348.93"/>
    <n v="0.11313128259390824"/>
    <n v="109155.75"/>
  </r>
  <r>
    <n v="1051"/>
    <x v="227"/>
    <s v="Bob"/>
    <s v="West"/>
    <x v="827"/>
    <n v="3"/>
    <x v="0"/>
    <n v="3434.75"/>
    <n v="3659.42"/>
    <s v="New"/>
    <n v="0.16"/>
    <s v="Cash"/>
    <s v="Online"/>
    <s v="West-Bob"/>
    <n v="674.01000000000022"/>
    <n v="6.1394975159998054E-2"/>
    <n v="10978.26"/>
  </r>
  <r>
    <n v="1045"/>
    <x v="267"/>
    <s v="Charlie"/>
    <s v="South"/>
    <x v="828"/>
    <n v="35"/>
    <x v="0"/>
    <n v="3777.94"/>
    <n v="4188.66"/>
    <s v="New"/>
    <n v="0.17"/>
    <s v="Bank Transfer"/>
    <s v="Online"/>
    <s v="South-Charlie"/>
    <n v="14375.199999999993"/>
    <n v="9.8055225298782855E-2"/>
    <n v="146603.1"/>
  </r>
  <r>
    <n v="1077"/>
    <x v="279"/>
    <s v="Alice"/>
    <s v="West"/>
    <x v="829"/>
    <n v="5"/>
    <x v="3"/>
    <n v="3650.89"/>
    <n v="3930.06"/>
    <s v="New"/>
    <n v="0.17"/>
    <s v="Bank Transfer"/>
    <s v="Online"/>
    <s v="West-Alice"/>
    <n v="1395.8500000000004"/>
    <n v="7.1034538912891937E-2"/>
    <n v="19650.3"/>
  </r>
  <r>
    <n v="1004"/>
    <x v="326"/>
    <s v="Eve"/>
    <s v="South"/>
    <x v="830"/>
    <n v="27"/>
    <x v="2"/>
    <n v="4354.6000000000004"/>
    <n v="4820.2"/>
    <s v="New"/>
    <n v="0.14000000000000001"/>
    <s v="Credit Card"/>
    <s v="Retail"/>
    <s v="South-Eve"/>
    <n v="12571.199999999986"/>
    <n v="9.659350234430096E-2"/>
    <n v="130145.4"/>
  </r>
  <r>
    <n v="1062"/>
    <x v="328"/>
    <s v="David"/>
    <s v="South"/>
    <x v="831"/>
    <n v="44"/>
    <x v="3"/>
    <n v="987.74"/>
    <n v="1462.19"/>
    <s v="New"/>
    <n v="0.24"/>
    <s v="Bank Transfer"/>
    <s v="Online"/>
    <s v="South-David"/>
    <n v="20875.800000000003"/>
    <n v="0.32447903487234903"/>
    <n v="64336.36"/>
  </r>
  <r>
    <n v="1065"/>
    <x v="243"/>
    <s v="Bob"/>
    <s v="South"/>
    <x v="832"/>
    <n v="12"/>
    <x v="3"/>
    <n v="2035.68"/>
    <n v="2079.64"/>
    <s v="Returning"/>
    <n v="0.04"/>
    <s v="Cash"/>
    <s v="Online"/>
    <s v="South-Bob"/>
    <n v="527.51999999999771"/>
    <n v="2.1138273932026604E-2"/>
    <n v="24955.68"/>
  </r>
  <r>
    <n v="1032"/>
    <x v="288"/>
    <s v="Alice"/>
    <s v="North"/>
    <x v="833"/>
    <n v="20"/>
    <x v="3"/>
    <n v="4741.59"/>
    <n v="4975.2299999999996"/>
    <s v="New"/>
    <n v="0.09"/>
    <s v="Credit Card"/>
    <s v="Online"/>
    <s v="North-Alice"/>
    <n v="4672.7999999999884"/>
    <n v="4.6960643025548456E-2"/>
    <n v="99504.599999999991"/>
  </r>
  <r>
    <n v="1034"/>
    <x v="88"/>
    <s v="Charlie"/>
    <s v="West"/>
    <x v="834"/>
    <n v="45"/>
    <x v="1"/>
    <n v="2013.12"/>
    <n v="2321.87"/>
    <s v="New"/>
    <n v="0.18"/>
    <s v="Bank Transfer"/>
    <s v="Retail"/>
    <s v="West-Charlie"/>
    <n v="13893.75"/>
    <n v="0.13297471434662578"/>
    <n v="104484.15"/>
  </r>
  <r>
    <n v="1092"/>
    <x v="116"/>
    <s v="Bob"/>
    <s v="East"/>
    <x v="835"/>
    <n v="20"/>
    <x v="1"/>
    <n v="668.11"/>
    <n v="803.49"/>
    <s v="New"/>
    <n v="0.21"/>
    <s v="Bank Transfer"/>
    <s v="Online"/>
    <s v="East-Bob"/>
    <n v="2707.6"/>
    <n v="0.16848996253842613"/>
    <n v="16069.8"/>
  </r>
  <r>
    <n v="1095"/>
    <x v="329"/>
    <s v="Charlie"/>
    <s v="East"/>
    <x v="836"/>
    <n v="9"/>
    <x v="1"/>
    <n v="2650.95"/>
    <n v="2860.4199999999901"/>
    <s v="New"/>
    <n v="0.12"/>
    <s v="Cash"/>
    <s v="Retail"/>
    <s v="East-Charlie"/>
    <n v="1885.2299999999123"/>
    <n v="7.3230504611207781E-2"/>
    <n v="25743.779999999912"/>
  </r>
  <r>
    <n v="1072"/>
    <x v="117"/>
    <s v="David"/>
    <s v="West"/>
    <x v="837"/>
    <n v="39"/>
    <x v="2"/>
    <n v="591.98"/>
    <n v="934.04"/>
    <s v="New"/>
    <n v="0.26"/>
    <s v="Bank Transfer"/>
    <s v="Retail"/>
    <s v="West-David"/>
    <n v="13340.339999999998"/>
    <n v="0.3662155796325639"/>
    <n v="36427.56"/>
  </r>
  <r>
    <n v="1039"/>
    <x v="203"/>
    <s v="Eve"/>
    <s v="South"/>
    <x v="838"/>
    <n v="4"/>
    <x v="3"/>
    <n v="1054.1199999999999"/>
    <n v="1175.21999999999"/>
    <s v="Returning"/>
    <n v="0.12"/>
    <s v="Bank Transfer"/>
    <s v="Retail"/>
    <s v="South-Eve"/>
    <n v="484.39999999996053"/>
    <n v="0.10304453634212417"/>
    <n v="4700.8799999999601"/>
  </r>
  <r>
    <n v="1026"/>
    <x v="324"/>
    <s v="Bob"/>
    <s v="East"/>
    <x v="839"/>
    <n v="19"/>
    <x v="3"/>
    <n v="4991.68"/>
    <n v="5296.65"/>
    <s v="New"/>
    <n v="0.12"/>
    <s v="Bank Transfer"/>
    <s v="Online"/>
    <s v="East-Bob"/>
    <n v="5794.4299999999876"/>
    <n v="5.7577903014169214E-2"/>
    <n v="100636.34999999999"/>
  </r>
  <r>
    <n v="1034"/>
    <x v="243"/>
    <s v="Bob"/>
    <s v="East"/>
    <x v="840"/>
    <n v="38"/>
    <x v="1"/>
    <n v="2729.75"/>
    <n v="3081.5"/>
    <s v="New"/>
    <n v="0.01"/>
    <s v="Bank Transfer"/>
    <s v="Online"/>
    <s v="East-Bob"/>
    <n v="13366.5"/>
    <n v="0.11414895343177024"/>
    <n v="117097"/>
  </r>
  <r>
    <n v="1054"/>
    <x v="330"/>
    <s v="David"/>
    <s v="West"/>
    <x v="841"/>
    <n v="27"/>
    <x v="3"/>
    <n v="1456.09"/>
    <n v="1510.4299999999901"/>
    <s v="Returning"/>
    <n v="0.17"/>
    <s v="Cash"/>
    <s v="Retail"/>
    <s v="West-David"/>
    <n v="1467.1799999997338"/>
    <n v="3.5976510000457151E-2"/>
    <n v="40781.609999999731"/>
  </r>
  <r>
    <n v="1003"/>
    <x v="331"/>
    <s v="Alice"/>
    <s v="East"/>
    <x v="842"/>
    <n v="45"/>
    <x v="3"/>
    <n v="4974.1400000000003"/>
    <n v="5227.93"/>
    <s v="New"/>
    <n v="0.21"/>
    <s v="Bank Transfer"/>
    <s v="Online"/>
    <s v="East-Alice"/>
    <n v="11420.55"/>
    <n v="4.8545026425372943E-2"/>
    <n v="235256.85"/>
  </r>
  <r>
    <n v="1050"/>
    <x v="272"/>
    <s v="Eve"/>
    <s v="South"/>
    <x v="843"/>
    <n v="43"/>
    <x v="0"/>
    <n v="4834.47"/>
    <n v="4973.38"/>
    <s v="Returning"/>
    <n v="0.03"/>
    <s v="Bank Transfer"/>
    <s v="Online"/>
    <s v="South-Eve"/>
    <n v="5973.1299999999937"/>
    <n v="2.7930703063107958E-2"/>
    <n v="213855.34"/>
  </r>
  <r>
    <n v="1012"/>
    <x v="89"/>
    <s v="Bob"/>
    <s v="West"/>
    <x v="844"/>
    <n v="13"/>
    <x v="3"/>
    <n v="2231.66"/>
    <n v="2596.6099999999901"/>
    <s v="Returning"/>
    <n v="0.09"/>
    <s v="Bank Transfer"/>
    <s v="Retail"/>
    <s v="West-Bob"/>
    <n v="4744.349999999873"/>
    <n v="0.14054863841700974"/>
    <n v="33755.929999999869"/>
  </r>
  <r>
    <n v="1065"/>
    <x v="253"/>
    <s v="Eve"/>
    <s v="South"/>
    <x v="845"/>
    <n v="13"/>
    <x v="0"/>
    <n v="1339"/>
    <n v="1441.88"/>
    <s v="Returning"/>
    <n v="0.23"/>
    <s v="Credit Card"/>
    <s v="Retail"/>
    <s v="South-Eve"/>
    <n v="1337.4400000000014"/>
    <n v="7.1351291369600861E-2"/>
    <n v="18744.440000000002"/>
  </r>
  <r>
    <n v="1054"/>
    <x v="332"/>
    <s v="Bob"/>
    <s v="East"/>
    <x v="846"/>
    <n v="22"/>
    <x v="3"/>
    <n v="4200.08"/>
    <n v="4647.28"/>
    <s v="Returning"/>
    <n v="0.11"/>
    <s v="Cash"/>
    <s v="Online"/>
    <s v="East-Bob"/>
    <n v="9838.399999999996"/>
    <n v="9.6228331411061921E-2"/>
    <n v="102240.15999999999"/>
  </r>
  <r>
    <n v="1005"/>
    <x v="94"/>
    <s v="Eve"/>
    <s v="East"/>
    <x v="847"/>
    <n v="28"/>
    <x v="2"/>
    <n v="3592.32"/>
    <n v="3813.48"/>
    <s v="New"/>
    <n v="7.0000000000000007E-2"/>
    <s v="Credit Card"/>
    <s v="Retail"/>
    <s v="East-Eve"/>
    <n v="6192.4799999999959"/>
    <n v="5.7994272947543939E-2"/>
    <n v="106777.44"/>
  </r>
  <r>
    <n v="1094"/>
    <x v="248"/>
    <s v="Charlie"/>
    <s v="South"/>
    <x v="848"/>
    <n v="47"/>
    <x v="1"/>
    <n v="3450.36"/>
    <n v="3557.38"/>
    <s v="New"/>
    <n v="0.2"/>
    <s v="Credit Card"/>
    <s v="Online"/>
    <s v="South-Charlie"/>
    <n v="5029.9399999999987"/>
    <n v="3.0083938179221777E-2"/>
    <n v="167196.86000000002"/>
  </r>
  <r>
    <n v="1094"/>
    <x v="120"/>
    <s v="Bob"/>
    <s v="North"/>
    <x v="849"/>
    <n v="45"/>
    <x v="0"/>
    <n v="4470.91"/>
    <n v="4695.54"/>
    <s v="Returning"/>
    <n v="0.06"/>
    <s v="Cash"/>
    <s v="Retail"/>
    <s v="North-Bob"/>
    <n v="10108.350000000006"/>
    <n v="4.7839013191241078E-2"/>
    <n v="211299.3"/>
  </r>
  <r>
    <n v="1057"/>
    <x v="115"/>
    <s v="Eve"/>
    <s v="East"/>
    <x v="850"/>
    <n v="22"/>
    <x v="1"/>
    <n v="3462.61"/>
    <n v="3672.89"/>
    <s v="Returning"/>
    <n v="0.27"/>
    <s v="Credit Card"/>
    <s v="Online"/>
    <s v="East-Eve"/>
    <n v="4626.1599999999944"/>
    <n v="5.7251918788746664E-2"/>
    <n v="80803.58"/>
  </r>
  <r>
    <n v="1017"/>
    <x v="195"/>
    <s v="Alice"/>
    <s v="North"/>
    <x v="851"/>
    <n v="43"/>
    <x v="0"/>
    <n v="1454.8"/>
    <n v="1674.97"/>
    <s v="New"/>
    <n v="0.03"/>
    <s v="Credit Card"/>
    <s v="Online"/>
    <s v="North-Alice"/>
    <n v="9467.3100000000031"/>
    <n v="0.13144713039636535"/>
    <n v="72023.710000000006"/>
  </r>
  <r>
    <n v="1047"/>
    <x v="312"/>
    <s v="Charlie"/>
    <s v="East"/>
    <x v="852"/>
    <n v="19"/>
    <x v="0"/>
    <n v="3484.62"/>
    <n v="3781.5499999999902"/>
    <s v="Returning"/>
    <n v="0.21"/>
    <s v="Credit Card"/>
    <s v="Retail"/>
    <s v="East-Charlie"/>
    <n v="5641.6699999998154"/>
    <n v="7.8520712406286067E-2"/>
    <n v="71849.449999999808"/>
  </r>
  <r>
    <n v="1023"/>
    <x v="80"/>
    <s v="Charlie"/>
    <s v="North"/>
    <x v="853"/>
    <n v="8"/>
    <x v="0"/>
    <n v="1563.78"/>
    <n v="1829.1599999999901"/>
    <s v="Returning"/>
    <n v="0.15"/>
    <s v="Cash"/>
    <s v="Online"/>
    <s v="North-Charlie"/>
    <n v="2123.0399999999208"/>
    <n v="0.14508298891293903"/>
    <n v="14633.279999999921"/>
  </r>
  <r>
    <n v="1079"/>
    <x v="3"/>
    <s v="Alice"/>
    <s v="North"/>
    <x v="854"/>
    <n v="8"/>
    <x v="2"/>
    <n v="3808.23"/>
    <n v="3891.62"/>
    <s v="Returning"/>
    <n v="0.26"/>
    <s v="Bank Transfer"/>
    <s v="Online"/>
    <s v="North-Alice"/>
    <n v="667.11999999999898"/>
    <n v="2.1428094212692882E-2"/>
    <n v="31132.959999999999"/>
  </r>
  <r>
    <n v="1085"/>
    <x v="283"/>
    <s v="Eve"/>
    <s v="North"/>
    <x v="855"/>
    <n v="42"/>
    <x v="3"/>
    <n v="3117.75"/>
    <n v="3159.88"/>
    <s v="New"/>
    <n v="0.04"/>
    <s v="Cash"/>
    <s v="Retail"/>
    <s v="North-Eve"/>
    <n v="1769.4600000000046"/>
    <n v="1.3332784789295832E-2"/>
    <n v="132714.96"/>
  </r>
  <r>
    <n v="1014"/>
    <x v="132"/>
    <s v="David"/>
    <s v="South"/>
    <x v="856"/>
    <n v="26"/>
    <x v="0"/>
    <n v="433.19"/>
    <n v="800.6"/>
    <s v="Returning"/>
    <n v="0.2"/>
    <s v="Cash"/>
    <s v="Online"/>
    <s v="South-David"/>
    <n v="9552.66"/>
    <n v="0.45891831126655003"/>
    <n v="20815.600000000002"/>
  </r>
  <r>
    <n v="1066"/>
    <x v="231"/>
    <s v="Alice"/>
    <s v="North"/>
    <x v="857"/>
    <n v="48"/>
    <x v="2"/>
    <n v="2588.54"/>
    <n v="2872.8"/>
    <s v="New"/>
    <n v="0.17"/>
    <s v="Cash"/>
    <s v="Online"/>
    <s v="North-Alice"/>
    <n v="13644.48000000001"/>
    <n v="9.8948760790866119E-2"/>
    <n v="137894.40000000002"/>
  </r>
  <r>
    <n v="1075"/>
    <x v="196"/>
    <s v="Eve"/>
    <s v="North"/>
    <x v="858"/>
    <n v="26"/>
    <x v="0"/>
    <n v="1749.34"/>
    <n v="1935.25"/>
    <s v="New"/>
    <n v="0.14000000000000001"/>
    <s v="Credit Card"/>
    <s v="Online"/>
    <s v="North-Eve"/>
    <n v="4833.6600000000017"/>
    <n v="9.6065107867200655E-2"/>
    <n v="50316.5"/>
  </r>
  <r>
    <n v="1051"/>
    <x v="78"/>
    <s v="Alice"/>
    <s v="North"/>
    <x v="859"/>
    <n v="23"/>
    <x v="3"/>
    <n v="1676.42"/>
    <n v="2082.52"/>
    <s v="New"/>
    <n v="0.15"/>
    <s v="Bank Transfer"/>
    <s v="Retail"/>
    <s v="North-Alice"/>
    <n v="9340.2999999999975"/>
    <n v="0.19500412961220057"/>
    <n v="47897.96"/>
  </r>
  <r>
    <n v="1038"/>
    <x v="159"/>
    <s v="Alice"/>
    <s v="East"/>
    <x v="860"/>
    <n v="43"/>
    <x v="0"/>
    <n v="3031.17"/>
    <n v="3231.32"/>
    <s v="Returning"/>
    <n v="0.22"/>
    <s v="Cash"/>
    <s v="Retail"/>
    <s v="East-Alice"/>
    <n v="8606.4500000000044"/>
    <n v="6.1940631073369425E-2"/>
    <n v="138946.76"/>
  </r>
  <r>
    <n v="1064"/>
    <x v="167"/>
    <s v="Bob"/>
    <s v="North"/>
    <x v="861"/>
    <n v="13"/>
    <x v="2"/>
    <n v="1645.51"/>
    <n v="2045.53"/>
    <s v="Returning"/>
    <n v="0.28000000000000003"/>
    <s v="Cash"/>
    <s v="Retail"/>
    <s v="North-Bob"/>
    <n v="5200.26"/>
    <n v="0.19555811941159504"/>
    <n v="26591.89"/>
  </r>
  <r>
    <n v="1098"/>
    <x v="176"/>
    <s v="Eve"/>
    <s v="East"/>
    <x v="862"/>
    <n v="28"/>
    <x v="3"/>
    <n v="3895.62"/>
    <n v="4055.44"/>
    <s v="New"/>
    <n v="0.03"/>
    <s v="Bank Transfer"/>
    <s v="Retail"/>
    <s v="East-Eve"/>
    <n v="4474.9600000000046"/>
    <n v="3.9408794113585742E-2"/>
    <n v="113552.32000000001"/>
  </r>
  <r>
    <n v="1038"/>
    <x v="288"/>
    <s v="David"/>
    <s v="North"/>
    <x v="863"/>
    <n v="9"/>
    <x v="2"/>
    <n v="400.42"/>
    <n v="446.11"/>
    <s v="New"/>
    <n v="0.01"/>
    <s v="Bank Transfer"/>
    <s v="Retail"/>
    <s v="North-David"/>
    <n v="411.21"/>
    <n v="0.10241868597431125"/>
    <n v="4014.9900000000002"/>
  </r>
  <r>
    <n v="1050"/>
    <x v="249"/>
    <s v="Bob"/>
    <s v="North"/>
    <x v="864"/>
    <n v="20"/>
    <x v="3"/>
    <n v="3318.92"/>
    <n v="3785.91"/>
    <s v="New"/>
    <n v="0.24"/>
    <s v="Bank Transfer"/>
    <s v="Online"/>
    <s v="North-Bob"/>
    <n v="9339.7999999999956"/>
    <n v="0.12334947212162989"/>
    <n v="75718.2"/>
  </r>
  <r>
    <n v="1098"/>
    <x v="333"/>
    <s v="Alice"/>
    <s v="South"/>
    <x v="865"/>
    <n v="19"/>
    <x v="3"/>
    <n v="4055.51"/>
    <n v="4258.84"/>
    <s v="Returning"/>
    <n v="0.03"/>
    <s v="Credit Card"/>
    <s v="Online"/>
    <s v="South-Alice"/>
    <n v="3863.2699999999986"/>
    <n v="4.7743047402579085E-2"/>
    <n v="80917.960000000006"/>
  </r>
  <r>
    <n v="1082"/>
    <x v="230"/>
    <s v="Alice"/>
    <s v="East"/>
    <x v="866"/>
    <n v="48"/>
    <x v="1"/>
    <n v="3380.52"/>
    <n v="3778.94"/>
    <s v="Returning"/>
    <n v="0.3"/>
    <s v="Bank Transfer"/>
    <s v="Online"/>
    <s v="East-Alice"/>
    <n v="19124.160000000003"/>
    <n v="0.10543168190021543"/>
    <n v="181389.12"/>
  </r>
  <r>
    <n v="1030"/>
    <x v="288"/>
    <s v="Alice"/>
    <s v="North"/>
    <x v="867"/>
    <n v="39"/>
    <x v="1"/>
    <n v="2511.2800000000002"/>
    <n v="2658.06"/>
    <s v="New"/>
    <n v="0.19"/>
    <s v="Credit Card"/>
    <s v="Retail"/>
    <s v="North-Alice"/>
    <n v="5724.4199999999901"/>
    <n v="5.5220724889581026E-2"/>
    <n v="103664.34"/>
  </r>
  <r>
    <n v="1079"/>
    <x v="17"/>
    <s v="Eve"/>
    <s v="East"/>
    <x v="868"/>
    <n v="12"/>
    <x v="1"/>
    <n v="4754.0200000000004"/>
    <n v="5080.74"/>
    <s v="New"/>
    <n v="0.2"/>
    <s v="Cash"/>
    <s v="Online"/>
    <s v="East-Eve"/>
    <n v="3920.6399999999921"/>
    <n v="6.4305593279718964E-2"/>
    <n v="60968.88"/>
  </r>
  <r>
    <n v="1091"/>
    <x v="279"/>
    <s v="Eve"/>
    <s v="East"/>
    <x v="869"/>
    <n v="15"/>
    <x v="3"/>
    <n v="1534.7"/>
    <n v="1972.62"/>
    <s v="Returning"/>
    <n v="0.06"/>
    <s v="Credit Card"/>
    <s v="Retail"/>
    <s v="East-Eve"/>
    <n v="6568.7999999999975"/>
    <n v="0.22199916861838562"/>
    <n v="29589.3"/>
  </r>
  <r>
    <n v="1051"/>
    <x v="10"/>
    <s v="Bob"/>
    <s v="West"/>
    <x v="870"/>
    <n v="31"/>
    <x v="0"/>
    <n v="144.88"/>
    <n v="175.29"/>
    <s v="New"/>
    <n v="7.0000000000000007E-2"/>
    <s v="Bank Transfer"/>
    <s v="Online"/>
    <s v="West-Bob"/>
    <n v="942.70999999999992"/>
    <n v="0.17348394089794056"/>
    <n v="5433.99"/>
  </r>
  <r>
    <n v="1063"/>
    <x v="293"/>
    <s v="David"/>
    <s v="South"/>
    <x v="871"/>
    <n v="14"/>
    <x v="2"/>
    <n v="2188.35"/>
    <n v="2605.3599999999901"/>
    <s v="Returning"/>
    <n v="0.2"/>
    <s v="Credit Card"/>
    <s v="Retail"/>
    <s v="South-David"/>
    <n v="5838.139999999863"/>
    <n v="0.16005849479534182"/>
    <n v="36475.039999999863"/>
  </r>
  <r>
    <n v="1098"/>
    <x v="200"/>
    <s v="Bob"/>
    <s v="South"/>
    <x v="872"/>
    <n v="11"/>
    <x v="2"/>
    <n v="213.41"/>
    <n v="503.36"/>
    <s v="Returning"/>
    <n v="0.27"/>
    <s v="Bank Transfer"/>
    <s v="Online"/>
    <s v="South-Bob"/>
    <n v="3189.4500000000007"/>
    <n v="0.5760290845518119"/>
    <n v="5536.96"/>
  </r>
  <r>
    <n v="1052"/>
    <x v="25"/>
    <s v="Charlie"/>
    <s v="South"/>
    <x v="873"/>
    <n v="26"/>
    <x v="2"/>
    <n v="4771.99"/>
    <n v="5079.6499999999996"/>
    <s v="New"/>
    <n v="0.28999999999999998"/>
    <s v="Credit Card"/>
    <s v="Online"/>
    <s v="South-Charlie"/>
    <n v="7999.1599999999962"/>
    <n v="6.0567165060584856E-2"/>
    <n v="132070.9"/>
  </r>
  <r>
    <n v="1038"/>
    <x v="196"/>
    <s v="Alice"/>
    <s v="West"/>
    <x v="874"/>
    <n v="42"/>
    <x v="1"/>
    <n v="1089.0899999999999"/>
    <n v="1355.44"/>
    <s v="New"/>
    <n v="0.06"/>
    <s v="Cash"/>
    <s v="Retail"/>
    <s v="West-Alice"/>
    <n v="11186.700000000006"/>
    <n v="0.19650445611757078"/>
    <n v="56928.480000000003"/>
  </r>
  <r>
    <n v="1097"/>
    <x v="188"/>
    <s v="Alice"/>
    <s v="West"/>
    <x v="875"/>
    <n v="27"/>
    <x v="3"/>
    <n v="3955.19"/>
    <n v="4393.68"/>
    <s v="Returning"/>
    <n v="0.04"/>
    <s v="Credit Card"/>
    <s v="Online"/>
    <s v="West-Alice"/>
    <n v="11839.230000000007"/>
    <n v="9.9800167513337382E-2"/>
    <n v="118629.36000000002"/>
  </r>
  <r>
    <n v="1088"/>
    <x v="142"/>
    <s v="Alice"/>
    <s v="South"/>
    <x v="876"/>
    <n v="11"/>
    <x v="1"/>
    <n v="3884.13"/>
    <n v="3915.41"/>
    <s v="Returning"/>
    <n v="0.02"/>
    <s v="Cash"/>
    <s v="Online"/>
    <s v="South-Alice"/>
    <n v="344.0799999999972"/>
    <n v="7.9889462406235231E-3"/>
    <n v="43069.509999999995"/>
  </r>
  <r>
    <n v="1079"/>
    <x v="275"/>
    <s v="Bob"/>
    <s v="West"/>
    <x v="877"/>
    <n v="38"/>
    <x v="0"/>
    <n v="1127.76"/>
    <n v="1265.6600000000001"/>
    <s v="Returning"/>
    <n v="0.26"/>
    <s v="Bank Transfer"/>
    <s v="Retail"/>
    <s v="West-Bob"/>
    <n v="5240.2000000000035"/>
    <n v="0.1089550116144937"/>
    <n v="48095.08"/>
  </r>
  <r>
    <n v="1030"/>
    <x v="262"/>
    <s v="Bob"/>
    <s v="West"/>
    <x v="878"/>
    <n v="34"/>
    <x v="3"/>
    <n v="3125.07"/>
    <n v="3564.19"/>
    <s v="Returning"/>
    <n v="0.09"/>
    <s v="Cash"/>
    <s v="Online"/>
    <s v="West-Bob"/>
    <n v="14930.079999999996"/>
    <n v="0.12320330846559804"/>
    <n v="121182.46"/>
  </r>
  <r>
    <n v="1051"/>
    <x v="15"/>
    <s v="Alice"/>
    <s v="West"/>
    <x v="879"/>
    <n v="43"/>
    <x v="2"/>
    <n v="287.99"/>
    <n v="666.64"/>
    <s v="Returning"/>
    <n v="0"/>
    <s v="Bank Transfer"/>
    <s v="Online"/>
    <s v="West-Alice"/>
    <n v="16281.949999999999"/>
    <n v="0.56799771990879633"/>
    <n v="28665.52"/>
  </r>
  <r>
    <n v="1081"/>
    <x v="265"/>
    <s v="Bob"/>
    <s v="South"/>
    <x v="880"/>
    <n v="19"/>
    <x v="1"/>
    <n v="2443.69"/>
    <n v="2462.34"/>
    <s v="New"/>
    <n v="7.0000000000000007E-2"/>
    <s v="Bank Transfer"/>
    <s v="Retail"/>
    <s v="South-Bob"/>
    <n v="354.35000000000173"/>
    <n v="7.5740961849298178E-3"/>
    <n v="46784.460000000006"/>
  </r>
  <r>
    <n v="1005"/>
    <x v="91"/>
    <s v="Eve"/>
    <s v="South"/>
    <x v="881"/>
    <n v="6"/>
    <x v="1"/>
    <n v="122.5"/>
    <n v="385.83"/>
    <s v="Returning"/>
    <n v="0.1"/>
    <s v="Cash"/>
    <s v="Retail"/>
    <s v="South-Eve"/>
    <n v="1579.98"/>
    <n v="0.68250265661042431"/>
    <n v="2314.98"/>
  </r>
  <r>
    <n v="1029"/>
    <x v="159"/>
    <s v="Eve"/>
    <s v="South"/>
    <x v="882"/>
    <n v="46"/>
    <x v="0"/>
    <n v="4609.66"/>
    <n v="4879.1499999999996"/>
    <s v="Returning"/>
    <n v="0.3"/>
    <s v="Cash"/>
    <s v="Retail"/>
    <s v="South-Eve"/>
    <n v="12396.53999999999"/>
    <n v="5.5232981154504326E-2"/>
    <n v="224440.9"/>
  </r>
  <r>
    <n v="1004"/>
    <x v="109"/>
    <s v="Bob"/>
    <s v="West"/>
    <x v="883"/>
    <n v="38"/>
    <x v="0"/>
    <n v="4881.63"/>
    <n v="5088.0600000000004"/>
    <s v="Returning"/>
    <n v="0.16"/>
    <s v="Credit Card"/>
    <s v="Retail"/>
    <s v="West-Bob"/>
    <n v="7844.3400000000111"/>
    <n v="4.0571455525288666E-2"/>
    <n v="193346.28000000003"/>
  </r>
  <r>
    <n v="1010"/>
    <x v="210"/>
    <s v="Alice"/>
    <s v="South"/>
    <x v="884"/>
    <n v="49"/>
    <x v="1"/>
    <n v="1150.3"/>
    <n v="1306.02"/>
    <s v="New"/>
    <n v="0.06"/>
    <s v="Credit Card"/>
    <s v="Retail"/>
    <s v="South-Alice"/>
    <n v="7630.2800000000016"/>
    <n v="0.11923247729743805"/>
    <n v="63994.979999999996"/>
  </r>
  <r>
    <n v="1056"/>
    <x v="241"/>
    <s v="Bob"/>
    <s v="West"/>
    <x v="885"/>
    <n v="42"/>
    <x v="0"/>
    <n v="1080.1199999999999"/>
    <n v="1424.1699999999901"/>
    <s v="New"/>
    <n v="0.1"/>
    <s v="Cash"/>
    <s v="Online"/>
    <s v="West-Bob"/>
    <n v="14450.099999999587"/>
    <n v="0.24157930584129181"/>
    <n v="59815.139999999585"/>
  </r>
  <r>
    <n v="1017"/>
    <x v="85"/>
    <s v="Bob"/>
    <s v="North"/>
    <x v="886"/>
    <n v="28"/>
    <x v="2"/>
    <n v="3780.91"/>
    <n v="3892.73"/>
    <s v="Returning"/>
    <n v="0.1"/>
    <s v="Cash"/>
    <s v="Retail"/>
    <s v="North-Bob"/>
    <n v="3130.9600000000046"/>
    <n v="2.8725341855201918E-2"/>
    <n v="108996.44"/>
  </r>
  <r>
    <n v="1074"/>
    <x v="248"/>
    <s v="Bob"/>
    <s v="West"/>
    <x v="887"/>
    <n v="1"/>
    <x v="0"/>
    <n v="1304.23"/>
    <n v="1705.71"/>
    <s v="Returning"/>
    <n v="0.01"/>
    <s v="Cash"/>
    <s v="Retail"/>
    <s v="West-Bob"/>
    <n v="401.48"/>
    <n v="0.23537412573063418"/>
    <n v="1705.71"/>
  </r>
  <r>
    <n v="1017"/>
    <x v="294"/>
    <s v="Charlie"/>
    <s v="East"/>
    <x v="888"/>
    <n v="35"/>
    <x v="0"/>
    <n v="4480.63"/>
    <n v="4884.12"/>
    <s v="New"/>
    <n v="0.04"/>
    <s v="Cash"/>
    <s v="Online"/>
    <s v="East-Charlie"/>
    <n v="14122.149999999992"/>
    <n v="8.2612630320303318E-2"/>
    <n v="170944.19999999998"/>
  </r>
  <r>
    <n v="1084"/>
    <x v="270"/>
    <s v="Eve"/>
    <s v="South"/>
    <x v="889"/>
    <n v="40"/>
    <x v="1"/>
    <n v="2890.95"/>
    <n v="3104.43"/>
    <s v="New"/>
    <n v="0.21"/>
    <s v="Bank Transfer"/>
    <s v="Online"/>
    <s v="South-Eve"/>
    <n v="8539.2000000000007"/>
    <n v="6.8766246943883419E-2"/>
    <n v="124177.2"/>
  </r>
  <r>
    <n v="1088"/>
    <x v="250"/>
    <s v="David"/>
    <s v="South"/>
    <x v="890"/>
    <n v="8"/>
    <x v="1"/>
    <n v="1786.35"/>
    <n v="1935.29"/>
    <s v="New"/>
    <n v="0.04"/>
    <s v="Cash"/>
    <s v="Online"/>
    <s v="South-David"/>
    <n v="1191.5200000000004"/>
    <n v="7.6960042164223474E-2"/>
    <n v="15482.32"/>
  </r>
  <r>
    <n v="1069"/>
    <x v="126"/>
    <s v="David"/>
    <s v="East"/>
    <x v="891"/>
    <n v="47"/>
    <x v="3"/>
    <n v="4171.83"/>
    <n v="4320.93"/>
    <s v="New"/>
    <n v="7.0000000000000007E-2"/>
    <s v="Cash"/>
    <s v="Online"/>
    <s v="East-David"/>
    <n v="7007.7000000000171"/>
    <n v="3.45064604147719E-2"/>
    <n v="203083.71000000002"/>
  </r>
  <r>
    <n v="1034"/>
    <x v="154"/>
    <s v="Charlie"/>
    <s v="West"/>
    <x v="892"/>
    <n v="7"/>
    <x v="3"/>
    <n v="2492.36"/>
    <n v="2738.68"/>
    <s v="Returning"/>
    <n v="0.11"/>
    <s v="Cash"/>
    <s v="Online"/>
    <s v="West-Charlie"/>
    <n v="1724.239999999998"/>
    <n v="8.9941139527071334E-2"/>
    <n v="19170.759999999998"/>
  </r>
  <r>
    <n v="1006"/>
    <x v="141"/>
    <s v="Bob"/>
    <s v="North"/>
    <x v="893"/>
    <n v="11"/>
    <x v="1"/>
    <n v="4562.58"/>
    <n v="4925.17"/>
    <s v="New"/>
    <n v="0.23"/>
    <s v="Cash"/>
    <s v="Retail"/>
    <s v="North-Bob"/>
    <n v="3988.4900000000016"/>
    <n v="7.3619793834527561E-2"/>
    <n v="54176.87"/>
  </r>
  <r>
    <n v="1053"/>
    <x v="67"/>
    <s v="Charlie"/>
    <s v="East"/>
    <x v="894"/>
    <n v="39"/>
    <x v="0"/>
    <n v="4643.67"/>
    <n v="4829.5200000000004"/>
    <s v="Returning"/>
    <n v="0.17"/>
    <s v="Bank Transfer"/>
    <s v="Online"/>
    <s v="East-Charlie"/>
    <n v="7248.1500000000142"/>
    <n v="3.8482085176166643E-2"/>
    <n v="188351.28000000003"/>
  </r>
  <r>
    <n v="1066"/>
    <x v="166"/>
    <s v="Charlie"/>
    <s v="East"/>
    <x v="895"/>
    <n v="4"/>
    <x v="0"/>
    <n v="868.83"/>
    <n v="1177.75"/>
    <s v="Returning"/>
    <n v="0.21"/>
    <s v="Credit Card"/>
    <s v="Retail"/>
    <s v="East-Charlie"/>
    <n v="1235.6799999999998"/>
    <n v="0.26229675228189342"/>
    <n v="4711"/>
  </r>
  <r>
    <n v="1077"/>
    <x v="318"/>
    <s v="Alice"/>
    <s v="West"/>
    <x v="896"/>
    <n v="25"/>
    <x v="3"/>
    <n v="61.5"/>
    <n v="258.91999999999899"/>
    <s v="New"/>
    <n v="0.17"/>
    <s v="Credit Card"/>
    <s v="Online"/>
    <s v="West-Alice"/>
    <n v="4935.4999999999745"/>
    <n v="0.76247489572068494"/>
    <n v="6472.9999999999745"/>
  </r>
  <r>
    <n v="1043"/>
    <x v="111"/>
    <s v="Eve"/>
    <s v="South"/>
    <x v="897"/>
    <n v="12"/>
    <x v="3"/>
    <n v="4920.46"/>
    <n v="5079.68"/>
    <s v="New"/>
    <n v="0.21"/>
    <s v="Credit Card"/>
    <s v="Retail"/>
    <s v="South-Eve"/>
    <n v="1910.6400000000031"/>
    <n v="3.1344494141363283E-2"/>
    <n v="60956.160000000003"/>
  </r>
  <r>
    <n v="1075"/>
    <x v="219"/>
    <s v="David"/>
    <s v="West"/>
    <x v="898"/>
    <n v="26"/>
    <x v="3"/>
    <n v="4535.38"/>
    <n v="4557.5600000000004"/>
    <s v="New"/>
    <n v="0"/>
    <s v="Credit Card"/>
    <s v="Online"/>
    <s v="West-David"/>
    <n v="576.68000000000757"/>
    <n v="4.8666391665716496E-3"/>
    <n v="118496.56000000001"/>
  </r>
  <r>
    <n v="1023"/>
    <x v="53"/>
    <s v="Bob"/>
    <s v="East"/>
    <x v="899"/>
    <n v="38"/>
    <x v="2"/>
    <n v="324.45"/>
    <n v="336.37"/>
    <s v="New"/>
    <n v="0.28000000000000003"/>
    <s v="Credit Card"/>
    <s v="Retail"/>
    <s v="East-Bob"/>
    <n v="452.9600000000006"/>
    <n v="3.5437167404941038E-2"/>
    <n v="12782.06"/>
  </r>
  <r>
    <n v="1055"/>
    <x v="15"/>
    <s v="David"/>
    <s v="East"/>
    <x v="900"/>
    <n v="46"/>
    <x v="2"/>
    <n v="4173.5200000000004"/>
    <n v="4294.8500000000004"/>
    <s v="Returning"/>
    <n v="0.03"/>
    <s v="Bank Transfer"/>
    <s v="Retail"/>
    <s v="East-David"/>
    <n v="5581.1799999999967"/>
    <n v="2.8250113508038681E-2"/>
    <n v="197563.1"/>
  </r>
  <r>
    <n v="1080"/>
    <x v="314"/>
    <s v="David"/>
    <s v="South"/>
    <x v="901"/>
    <n v="12"/>
    <x v="3"/>
    <n v="2316.13"/>
    <n v="2525.27"/>
    <s v="Returning"/>
    <n v="0.12"/>
    <s v="Credit Card"/>
    <s v="Retail"/>
    <s v="South-David"/>
    <n v="2509.6799999999985"/>
    <n v="8.2818866893441048E-2"/>
    <n v="30303.239999999998"/>
  </r>
  <r>
    <n v="1095"/>
    <x v="313"/>
    <s v="Eve"/>
    <s v="South"/>
    <x v="902"/>
    <n v="43"/>
    <x v="0"/>
    <n v="1331.86"/>
    <n v="1758.98"/>
    <s v="Returning"/>
    <n v="0.23"/>
    <s v="Bank Transfer"/>
    <s v="Retail"/>
    <s v="South-Eve"/>
    <n v="18366.160000000003"/>
    <n v="0.2428225448839669"/>
    <n v="75636.14"/>
  </r>
  <r>
    <n v="1075"/>
    <x v="334"/>
    <s v="David"/>
    <s v="South"/>
    <x v="903"/>
    <n v="37"/>
    <x v="3"/>
    <n v="4399.8"/>
    <n v="4801.0600000000004"/>
    <s v="New"/>
    <n v="0.13"/>
    <s v="Bank Transfer"/>
    <s v="Retail"/>
    <s v="South-David"/>
    <n v="14846.620000000008"/>
    <n v="8.3577376662653705E-2"/>
    <n v="177639.22"/>
  </r>
  <r>
    <n v="1016"/>
    <x v="168"/>
    <s v="David"/>
    <s v="West"/>
    <x v="904"/>
    <n v="46"/>
    <x v="2"/>
    <n v="1023.5"/>
    <n v="1164.4100000000001"/>
    <s v="Returning"/>
    <n v="0.28000000000000003"/>
    <s v="Credit Card"/>
    <s v="Retail"/>
    <s v="West-David"/>
    <n v="6481.8600000000042"/>
    <n v="0.12101407579804373"/>
    <n v="53562.86"/>
  </r>
  <r>
    <n v="1008"/>
    <x v="274"/>
    <s v="Charlie"/>
    <s v="South"/>
    <x v="905"/>
    <n v="24"/>
    <x v="0"/>
    <n v="4739.13"/>
    <n v="4868.95"/>
    <s v="New"/>
    <n v="0.14000000000000001"/>
    <s v="Credit Card"/>
    <s v="Retail"/>
    <s v="South-Charlie"/>
    <n v="3115.679999999993"/>
    <n v="2.6662832848971488E-2"/>
    <n v="116854.79999999999"/>
  </r>
  <r>
    <n v="1004"/>
    <x v="43"/>
    <s v="Eve"/>
    <s v="East"/>
    <x v="906"/>
    <n v="16"/>
    <x v="2"/>
    <n v="1067.83"/>
    <n v="1189.22"/>
    <s v="Returning"/>
    <n v="0.26"/>
    <s v="Credit Card"/>
    <s v="Retail"/>
    <s v="East-Eve"/>
    <n v="1942.2400000000016"/>
    <n v="0.10207530986697171"/>
    <n v="19027.52"/>
  </r>
  <r>
    <n v="1004"/>
    <x v="196"/>
    <s v="Alice"/>
    <s v="East"/>
    <x v="907"/>
    <n v="13"/>
    <x v="0"/>
    <n v="3087.73"/>
    <n v="3263.96"/>
    <s v="New"/>
    <n v="0.24"/>
    <s v="Cash"/>
    <s v="Retail"/>
    <s v="East-Alice"/>
    <n v="2290.9900000000002"/>
    <n v="5.3992695988921431E-2"/>
    <n v="42431.48"/>
  </r>
  <r>
    <n v="1056"/>
    <x v="197"/>
    <s v="Bob"/>
    <s v="North"/>
    <x v="908"/>
    <n v="25"/>
    <x v="2"/>
    <n v="1154.28"/>
    <n v="1408.4"/>
    <s v="Returning"/>
    <n v="0.28999999999999998"/>
    <s v="Bank Transfer"/>
    <s v="Retail"/>
    <s v="North-Bob"/>
    <n v="6353.0000000000027"/>
    <n v="0.18043169554103955"/>
    <n v="35210"/>
  </r>
  <r>
    <n v="1025"/>
    <x v="59"/>
    <s v="David"/>
    <s v="West"/>
    <x v="909"/>
    <n v="4"/>
    <x v="0"/>
    <n v="2751.06"/>
    <n v="2976.0099999999902"/>
    <s v="Returning"/>
    <n v="0.28000000000000003"/>
    <s v="Credit Card"/>
    <s v="Online"/>
    <s v="West-David"/>
    <n v="899.79999999996107"/>
    <n v="7.5587783643197098E-2"/>
    <n v="11904.039999999961"/>
  </r>
  <r>
    <n v="1067"/>
    <x v="330"/>
    <s v="Bob"/>
    <s v="North"/>
    <x v="910"/>
    <n v="11"/>
    <x v="0"/>
    <n v="3435.68"/>
    <n v="3552.6299999999901"/>
    <s v="New"/>
    <n v="0.27"/>
    <s v="Cash"/>
    <s v="Retail"/>
    <s v="North-Bob"/>
    <n v="1286.449999999893"/>
    <n v="3.2919273890045009E-2"/>
    <n v="39078.929999999891"/>
  </r>
  <r>
    <n v="1096"/>
    <x v="247"/>
    <s v="Alice"/>
    <s v="East"/>
    <x v="911"/>
    <n v="32"/>
    <x v="0"/>
    <n v="991.63"/>
    <n v="1065.55"/>
    <s v="Returning"/>
    <n v="0.22"/>
    <s v="Bank Transfer"/>
    <s v="Retail"/>
    <s v="East-Alice"/>
    <n v="2365.4399999999987"/>
    <n v="6.9372624466238056E-2"/>
    <n v="34097.599999999999"/>
  </r>
  <r>
    <n v="1067"/>
    <x v="114"/>
    <s v="Bob"/>
    <s v="North"/>
    <x v="912"/>
    <n v="49"/>
    <x v="0"/>
    <n v="2628.38"/>
    <n v="2644.54"/>
    <s v="Returning"/>
    <n v="0.11"/>
    <s v="Cash"/>
    <s v="Online"/>
    <s v="North-Bob"/>
    <n v="791.83999999999287"/>
    <n v="6.1107035628123812E-3"/>
    <n v="129582.45999999999"/>
  </r>
  <r>
    <n v="1027"/>
    <x v="153"/>
    <s v="Alice"/>
    <s v="East"/>
    <x v="913"/>
    <n v="7"/>
    <x v="1"/>
    <n v="2371.85"/>
    <n v="2457.29"/>
    <s v="New"/>
    <n v="0.03"/>
    <s v="Cash"/>
    <s v="Retail"/>
    <s v="East-Alice"/>
    <n v="598.08000000000038"/>
    <n v="3.477001086562842E-2"/>
    <n v="17201.03"/>
  </r>
  <r>
    <n v="1093"/>
    <x v="82"/>
    <s v="Charlie"/>
    <s v="North"/>
    <x v="914"/>
    <n v="46"/>
    <x v="2"/>
    <n v="401.64"/>
    <n v="757.26"/>
    <s v="New"/>
    <n v="0.21"/>
    <s v="Credit Card"/>
    <s v="Retail"/>
    <s v="North-Charlie"/>
    <n v="16358.52"/>
    <n v="0.46961413517153955"/>
    <n v="34833.96"/>
  </r>
  <r>
    <n v="1032"/>
    <x v="143"/>
    <s v="David"/>
    <s v="South"/>
    <x v="915"/>
    <n v="11"/>
    <x v="2"/>
    <n v="4100.62"/>
    <n v="4230"/>
    <s v="New"/>
    <n v="0.28999999999999998"/>
    <s v="Bank Transfer"/>
    <s v="Online"/>
    <s v="South-David"/>
    <n v="1423.1800000000012"/>
    <n v="3.0586288416075677E-2"/>
    <n v="46530"/>
  </r>
  <r>
    <n v="1050"/>
    <x v="335"/>
    <s v="Alice"/>
    <s v="North"/>
    <x v="916"/>
    <n v="28"/>
    <x v="1"/>
    <n v="1711.63"/>
    <n v="1951.24"/>
    <s v="New"/>
    <n v="0.22"/>
    <s v="Cash"/>
    <s v="Online"/>
    <s v="North-Alice"/>
    <n v="6709.0799999999972"/>
    <n v="0.12279883561222601"/>
    <n v="54634.720000000001"/>
  </r>
  <r>
    <n v="1061"/>
    <x v="127"/>
    <s v="Bob"/>
    <s v="South"/>
    <x v="917"/>
    <n v="41"/>
    <x v="0"/>
    <n v="2894.18"/>
    <n v="3193.92"/>
    <s v="New"/>
    <n v="0.28000000000000003"/>
    <s v="Bank Transfer"/>
    <s v="Retail"/>
    <s v="South-Bob"/>
    <n v="12289.340000000009"/>
    <n v="9.3847059412884556E-2"/>
    <n v="130950.72"/>
  </r>
  <r>
    <n v="1051"/>
    <x v="231"/>
    <s v="David"/>
    <s v="South"/>
    <x v="918"/>
    <n v="23"/>
    <x v="0"/>
    <n v="2598.1799999999998"/>
    <n v="3042.73"/>
    <s v="Returning"/>
    <n v="0.24"/>
    <s v="Credit Card"/>
    <s v="Online"/>
    <s v="South-David"/>
    <n v="10224.650000000005"/>
    <n v="0.14610234887748838"/>
    <n v="69982.789999999994"/>
  </r>
  <r>
    <n v="1019"/>
    <x v="291"/>
    <s v="Charlie"/>
    <s v="West"/>
    <x v="919"/>
    <n v="45"/>
    <x v="2"/>
    <n v="2590.64"/>
    <n v="3036.18"/>
    <s v="New"/>
    <n v="0.05"/>
    <s v="Bank Transfer"/>
    <s v="Retail"/>
    <s v="West-Charlie"/>
    <n v="20049.3"/>
    <n v="0.14674360545158718"/>
    <n v="136628.1"/>
  </r>
  <r>
    <n v="1021"/>
    <x v="260"/>
    <s v="David"/>
    <s v="South"/>
    <x v="920"/>
    <n v="23"/>
    <x v="1"/>
    <n v="580.75"/>
    <n v="956.16"/>
    <s v="Returning"/>
    <n v="7.0000000000000007E-2"/>
    <s v="Cash"/>
    <s v="Retail"/>
    <s v="South-David"/>
    <n v="8634.4299999999985"/>
    <n v="0.39262257362784464"/>
    <n v="21991.68"/>
  </r>
  <r>
    <n v="1005"/>
    <x v="197"/>
    <s v="Alice"/>
    <s v="South"/>
    <x v="921"/>
    <n v="28"/>
    <x v="0"/>
    <n v="2146.2399999999998"/>
    <n v="2173.4699999999998"/>
    <s v="Returning"/>
    <n v="0.1"/>
    <s v="Cash"/>
    <s v="Retail"/>
    <s v="South-Alice"/>
    <n v="762.44000000000051"/>
    <n v="1.2528353278398147E-2"/>
    <n v="60857.159999999996"/>
  </r>
  <r>
    <n v="1082"/>
    <x v="34"/>
    <s v="Charlie"/>
    <s v="North"/>
    <x v="922"/>
    <n v="43"/>
    <x v="0"/>
    <n v="2289.2199999999998"/>
    <n v="2581"/>
    <s v="New"/>
    <n v="0.05"/>
    <s v="Bank Transfer"/>
    <s v="Online"/>
    <s v="North-Charlie"/>
    <n v="12546.540000000008"/>
    <n v="0.11304920573421162"/>
    <n v="110983"/>
  </r>
  <r>
    <n v="1092"/>
    <x v="241"/>
    <s v="Bob"/>
    <s v="East"/>
    <x v="923"/>
    <n v="47"/>
    <x v="0"/>
    <n v="3681.53"/>
    <n v="4076.96"/>
    <s v="Returning"/>
    <n v="0.17"/>
    <s v="Cash"/>
    <s v="Retail"/>
    <s v="East-Bob"/>
    <n v="18585.209999999992"/>
    <n v="9.6991385738393276E-2"/>
    <n v="191617.12"/>
  </r>
  <r>
    <n v="1042"/>
    <x v="322"/>
    <s v="Charlie"/>
    <s v="West"/>
    <x v="924"/>
    <n v="26"/>
    <x v="3"/>
    <n v="4208.09"/>
    <n v="4226.5600000000004"/>
    <s v="Returning"/>
    <n v="0.28999999999999998"/>
    <s v="Cash"/>
    <s v="Retail"/>
    <s v="West-Charlie"/>
    <n v="480.22000000000662"/>
    <n v="4.3699841005451837E-3"/>
    <n v="109890.56000000001"/>
  </r>
  <r>
    <n v="1061"/>
    <x v="2"/>
    <s v="Charlie"/>
    <s v="South"/>
    <x v="925"/>
    <n v="25"/>
    <x v="1"/>
    <n v="2747.66"/>
    <n v="3027.0099999999902"/>
    <s v="New"/>
    <n v="0.23"/>
    <s v="Cash"/>
    <s v="Online"/>
    <s v="South-Charlie"/>
    <n v="6983.749999999759"/>
    <n v="9.2285786964691655E-2"/>
    <n v="75675.249999999753"/>
  </r>
  <r>
    <n v="1022"/>
    <x v="90"/>
    <s v="Eve"/>
    <s v="West"/>
    <x v="926"/>
    <n v="29"/>
    <x v="0"/>
    <n v="479.58"/>
    <n v="909.88"/>
    <s v="Returning"/>
    <n v="0.13"/>
    <s v="Credit Card"/>
    <s v="Retail"/>
    <s v="West-Eve"/>
    <n v="12478.7"/>
    <n v="0.4729195058689058"/>
    <n v="26386.52"/>
  </r>
  <r>
    <n v="1021"/>
    <x v="68"/>
    <s v="Charlie"/>
    <s v="North"/>
    <x v="927"/>
    <n v="19"/>
    <x v="3"/>
    <n v="1222.4000000000001"/>
    <n v="1464.71"/>
    <s v="New"/>
    <n v="0"/>
    <s v="Credit Card"/>
    <s v="Retail"/>
    <s v="North-Charlie"/>
    <n v="4603.8899999999994"/>
    <n v="0.16543206505041952"/>
    <n v="27829.49"/>
  </r>
  <r>
    <n v="1070"/>
    <x v="336"/>
    <s v="Charlie"/>
    <s v="South"/>
    <x v="928"/>
    <n v="33"/>
    <x v="1"/>
    <n v="866.42"/>
    <n v="878.43"/>
    <s v="New"/>
    <n v="0.09"/>
    <s v="Cash"/>
    <s v="Retail"/>
    <s v="South-Charlie"/>
    <n v="396.3299999999997"/>
    <n v="1.3672119576972544E-2"/>
    <n v="28988.19"/>
  </r>
  <r>
    <n v="1001"/>
    <x v="24"/>
    <s v="David"/>
    <s v="North"/>
    <x v="929"/>
    <n v="36"/>
    <x v="0"/>
    <n v="666.84"/>
    <n v="682.24"/>
    <s v="New"/>
    <n v="0.16"/>
    <s v="Bank Transfer"/>
    <s v="Retail"/>
    <s v="North-David"/>
    <n v="554.39999999999918"/>
    <n v="2.2572701688555314E-2"/>
    <n v="24560.639999999999"/>
  </r>
  <r>
    <n v="1005"/>
    <x v="76"/>
    <s v="Bob"/>
    <s v="West"/>
    <x v="930"/>
    <n v="14"/>
    <x v="2"/>
    <n v="1861.2"/>
    <n v="2075.35"/>
    <s v="Returning"/>
    <n v="0.1"/>
    <s v="Credit Card"/>
    <s v="Retail"/>
    <s v="West-Bob"/>
    <n v="2998.0999999999981"/>
    <n v="0.10318741417110361"/>
    <n v="29054.899999999998"/>
  </r>
  <r>
    <n v="1012"/>
    <x v="24"/>
    <s v="David"/>
    <s v="North"/>
    <x v="931"/>
    <n v="14"/>
    <x v="3"/>
    <n v="1185.5"/>
    <n v="1271.45"/>
    <s v="Returning"/>
    <n v="0.03"/>
    <s v="Bank Transfer"/>
    <s v="Retail"/>
    <s v="North-David"/>
    <n v="1203.3000000000006"/>
    <n v="6.7599984269928068E-2"/>
    <n v="17800.3"/>
  </r>
  <r>
    <n v="1090"/>
    <x v="1"/>
    <s v="David"/>
    <s v="West"/>
    <x v="932"/>
    <n v="35"/>
    <x v="3"/>
    <n v="1130.5999999999999"/>
    <n v="1466.1799999999901"/>
    <s v="Returning"/>
    <n v="0.13"/>
    <s v="Cash"/>
    <s v="Online"/>
    <s v="West-David"/>
    <n v="11745.299999999655"/>
    <n v="0.22888049216330356"/>
    <n v="51316.299999999654"/>
  </r>
  <r>
    <n v="1046"/>
    <x v="175"/>
    <s v="Alice"/>
    <s v="North"/>
    <x v="933"/>
    <n v="30"/>
    <x v="0"/>
    <n v="320.73"/>
    <n v="678.04"/>
    <s v="Returning"/>
    <n v="0.08"/>
    <s v="Cash"/>
    <s v="Retail"/>
    <s v="North-Alice"/>
    <n v="10719.3"/>
    <n v="0.52697480974573774"/>
    <n v="20341.199999999997"/>
  </r>
  <r>
    <n v="1034"/>
    <x v="212"/>
    <s v="David"/>
    <s v="West"/>
    <x v="934"/>
    <n v="28"/>
    <x v="0"/>
    <n v="137.47"/>
    <n v="234.63"/>
    <s v="New"/>
    <n v="0.27"/>
    <s v="Bank Transfer"/>
    <s v="Retail"/>
    <s v="West-David"/>
    <n v="2720.48"/>
    <n v="0.41409879384562931"/>
    <n v="6569.6399999999994"/>
  </r>
  <r>
    <n v="1049"/>
    <x v="76"/>
    <s v="Eve"/>
    <s v="East"/>
    <x v="935"/>
    <n v="17"/>
    <x v="3"/>
    <n v="558.70000000000005"/>
    <n v="1004.08"/>
    <s v="Returning"/>
    <n v="0.03"/>
    <s v="Credit Card"/>
    <s v="Online"/>
    <s v="East-Eve"/>
    <n v="7571.46"/>
    <n v="0.44357023344753405"/>
    <n v="17069.36"/>
  </r>
  <r>
    <n v="1078"/>
    <x v="328"/>
    <s v="Eve"/>
    <s v="North"/>
    <x v="936"/>
    <n v="3"/>
    <x v="2"/>
    <n v="902.38"/>
    <n v="1128.9100000000001"/>
    <s v="New"/>
    <n v="0.01"/>
    <s v="Bank Transfer"/>
    <s v="Retail"/>
    <s v="North-Eve"/>
    <n v="679.59000000000026"/>
    <n v="0.20066258603431633"/>
    <n v="3386.7300000000005"/>
  </r>
  <r>
    <n v="1090"/>
    <x v="310"/>
    <s v="Alice"/>
    <s v="North"/>
    <x v="937"/>
    <n v="16"/>
    <x v="2"/>
    <n v="2183.37"/>
    <n v="2263.3599999999901"/>
    <s v="Returning"/>
    <n v="0"/>
    <s v="Bank Transfer"/>
    <s v="Retail"/>
    <s v="North-Alice"/>
    <n v="1279.8399999998437"/>
    <n v="3.5341262547712506E-2"/>
    <n v="36213.759999999842"/>
  </r>
  <r>
    <n v="1045"/>
    <x v="320"/>
    <s v="Bob"/>
    <s v="East"/>
    <x v="938"/>
    <n v="46"/>
    <x v="1"/>
    <n v="2577.08"/>
    <n v="2961.56"/>
    <s v="Returning"/>
    <n v="0.1"/>
    <s v="Cash"/>
    <s v="Online"/>
    <s v="East-Bob"/>
    <n v="17686.080000000002"/>
    <n v="0.12982347141371439"/>
    <n v="136231.76"/>
  </r>
  <r>
    <n v="1027"/>
    <x v="285"/>
    <s v="Bob"/>
    <s v="East"/>
    <x v="939"/>
    <n v="30"/>
    <x v="0"/>
    <n v="745.93"/>
    <n v="1143.02"/>
    <s v="Returning"/>
    <n v="0.2"/>
    <s v="Credit Card"/>
    <s v="Online"/>
    <s v="East-Bob"/>
    <n v="11912.7"/>
    <n v="0.34740424489510247"/>
    <n v="34290.6"/>
  </r>
  <r>
    <n v="1073"/>
    <x v="152"/>
    <s v="David"/>
    <s v="North"/>
    <x v="940"/>
    <n v="29"/>
    <x v="2"/>
    <n v="2152.6799999999998"/>
    <n v="2475.9299999999998"/>
    <s v="Returning"/>
    <n v="0.22"/>
    <s v="Bank Transfer"/>
    <s v="Online"/>
    <s v="North-David"/>
    <n v="9374.25"/>
    <n v="0.13055700282318158"/>
    <n v="71801.97"/>
  </r>
  <r>
    <n v="1026"/>
    <x v="158"/>
    <s v="David"/>
    <s v="East"/>
    <x v="941"/>
    <n v="45"/>
    <x v="1"/>
    <n v="1741.66"/>
    <n v="2169.86"/>
    <s v="Returning"/>
    <n v="0.14000000000000001"/>
    <s v="Credit Card"/>
    <s v="Online"/>
    <s v="East-David"/>
    <n v="19269.000000000004"/>
    <n v="0.19733992054786947"/>
    <n v="97643.700000000012"/>
  </r>
  <r>
    <n v="1047"/>
    <x v="217"/>
    <s v="David"/>
    <s v="South"/>
    <x v="942"/>
    <n v="15"/>
    <x v="2"/>
    <n v="957.95"/>
    <n v="1329.26"/>
    <s v="New"/>
    <n v="0.21"/>
    <s v="Cash"/>
    <s v="Online"/>
    <s v="South-David"/>
    <n v="5569.65"/>
    <n v="0.2793358710861682"/>
    <n v="19938.900000000001"/>
  </r>
  <r>
    <n v="1086"/>
    <x v="242"/>
    <s v="Bob"/>
    <s v="West"/>
    <x v="943"/>
    <n v="46"/>
    <x v="0"/>
    <n v="83.86"/>
    <n v="526.14"/>
    <s v="Returning"/>
    <n v="0.11"/>
    <s v="Credit Card"/>
    <s v="Online"/>
    <s v="West-Bob"/>
    <n v="20344.879999999997"/>
    <n v="0.84061276466339752"/>
    <n v="24202.44"/>
  </r>
  <r>
    <n v="1056"/>
    <x v="107"/>
    <s v="Charlie"/>
    <s v="West"/>
    <x v="944"/>
    <n v="25"/>
    <x v="1"/>
    <n v="2361.7399999999998"/>
    <n v="2584.35"/>
    <s v="Returning"/>
    <n v="0.2"/>
    <s v="Cash"/>
    <s v="Online"/>
    <s v="West-Charlie"/>
    <n v="5565.2500000000036"/>
    <n v="8.6137713544992028E-2"/>
    <n v="64608.75"/>
  </r>
  <r>
    <n v="1094"/>
    <x v="267"/>
    <s v="Eve"/>
    <s v="West"/>
    <x v="945"/>
    <n v="38"/>
    <x v="1"/>
    <n v="3443.98"/>
    <n v="3820.3"/>
    <s v="Returning"/>
    <n v="0.01"/>
    <s v="Credit Card"/>
    <s v="Retail"/>
    <s v="West-Eve"/>
    <n v="14300.160000000007"/>
    <n v="9.8505352982750094E-2"/>
    <n v="145171.4"/>
  </r>
  <r>
    <n v="1063"/>
    <x v="202"/>
    <s v="Charlie"/>
    <s v="South"/>
    <x v="946"/>
    <n v="42"/>
    <x v="1"/>
    <n v="1170.07"/>
    <n v="1669.94999999999"/>
    <s v="Returning"/>
    <n v="0.12"/>
    <s v="Bank Transfer"/>
    <s v="Retail"/>
    <s v="South-Charlie"/>
    <n v="20994.959999999584"/>
    <n v="0.29933830354201807"/>
    <n v="70137.899999999587"/>
  </r>
  <r>
    <n v="1048"/>
    <x v="267"/>
    <s v="Charlie"/>
    <s v="East"/>
    <x v="947"/>
    <n v="47"/>
    <x v="2"/>
    <n v="702.44"/>
    <n v="1067.6600000000001"/>
    <s v="New"/>
    <n v="0.24"/>
    <s v="Cash"/>
    <s v="Retail"/>
    <s v="East-Charlie"/>
    <n v="17165.34"/>
    <n v="0.34207519247700574"/>
    <n v="50180.020000000004"/>
  </r>
  <r>
    <n v="1061"/>
    <x v="170"/>
    <s v="Bob"/>
    <s v="East"/>
    <x v="948"/>
    <n v="38"/>
    <x v="0"/>
    <n v="4440.8599999999997"/>
    <n v="4506.8099999999904"/>
    <s v="Returning"/>
    <n v="0.24"/>
    <s v="Bank Transfer"/>
    <s v="Online"/>
    <s v="East-Bob"/>
    <n v="2506.0999999996475"/>
    <n v="1.4633410327923936E-2"/>
    <n v="171258.77999999962"/>
  </r>
  <r>
    <n v="1081"/>
    <x v="275"/>
    <s v="Charlie"/>
    <s v="North"/>
    <x v="949"/>
    <n v="23"/>
    <x v="1"/>
    <n v="1411.37"/>
    <n v="1675.35"/>
    <s v="New"/>
    <n v="0.21"/>
    <s v="Cash"/>
    <s v="Retail"/>
    <s v="North-Charlie"/>
    <n v="6071.5400000000009"/>
    <n v="0.1575670755364551"/>
    <n v="38533.049999999996"/>
  </r>
  <r>
    <n v="1026"/>
    <x v="30"/>
    <s v="Alice"/>
    <s v="East"/>
    <x v="950"/>
    <n v="25"/>
    <x v="3"/>
    <n v="1156.8800000000001"/>
    <n v="1454.68"/>
    <s v="Returning"/>
    <n v="0.06"/>
    <s v="Credit Card"/>
    <s v="Online"/>
    <s v="East-Alice"/>
    <n v="7444.9999999999991"/>
    <n v="0.20471856353287318"/>
    <n v="36367"/>
  </r>
  <r>
    <n v="1036"/>
    <x v="247"/>
    <s v="David"/>
    <s v="North"/>
    <x v="951"/>
    <n v="42"/>
    <x v="0"/>
    <n v="4292.63"/>
    <n v="4387.99"/>
    <s v="New"/>
    <n v="7.0000000000000007E-2"/>
    <s v="Credit Card"/>
    <s v="Retail"/>
    <s v="North-David"/>
    <n v="4005.1199999999862"/>
    <n v="2.1732045879776316E-2"/>
    <n v="184295.58"/>
  </r>
  <r>
    <n v="1001"/>
    <x v="216"/>
    <s v="Alice"/>
    <s v="South"/>
    <x v="952"/>
    <n v="7"/>
    <x v="3"/>
    <n v="4094.68"/>
    <n v="4576.5"/>
    <s v="New"/>
    <n v="0.3"/>
    <s v="Cash"/>
    <s v="Retail"/>
    <s v="South-Alice"/>
    <n v="3372.7400000000011"/>
    <n v="0.10528132852616633"/>
    <n v="32035.5"/>
  </r>
  <r>
    <n v="1008"/>
    <x v="164"/>
    <s v="Eve"/>
    <s v="West"/>
    <x v="953"/>
    <n v="22"/>
    <x v="3"/>
    <n v="2269.3200000000002"/>
    <n v="2365.35"/>
    <s v="New"/>
    <n v="0.03"/>
    <s v="Cash"/>
    <s v="Retail"/>
    <s v="West-Eve"/>
    <n v="2112.6599999999944"/>
    <n v="4.0598642906969268E-2"/>
    <n v="52037.7"/>
  </r>
  <r>
    <n v="1099"/>
    <x v="337"/>
    <s v="David"/>
    <s v="West"/>
    <x v="954"/>
    <n v="17"/>
    <x v="1"/>
    <n v="2471.73"/>
    <n v="2568.73"/>
    <s v="New"/>
    <n v="0.05"/>
    <s v="Cash"/>
    <s v="Retail"/>
    <s v="West-David"/>
    <n v="1649"/>
    <n v="3.7761851187162528E-2"/>
    <n v="43668.41"/>
  </r>
  <r>
    <n v="1052"/>
    <x v="64"/>
    <s v="Charlie"/>
    <s v="West"/>
    <x v="955"/>
    <n v="18"/>
    <x v="1"/>
    <n v="1127.8599999999999"/>
    <n v="1586.29"/>
    <s v="New"/>
    <n v="0.04"/>
    <s v="Credit Card"/>
    <s v="Online"/>
    <s v="West-Charlie"/>
    <n v="8251.7400000000016"/>
    <n v="0.28899507656229317"/>
    <n v="28553.22"/>
  </r>
  <r>
    <n v="1079"/>
    <x v="46"/>
    <s v="Eve"/>
    <s v="East"/>
    <x v="956"/>
    <n v="49"/>
    <x v="2"/>
    <n v="437.59"/>
    <n v="675.54"/>
    <s v="Returning"/>
    <n v="0.1"/>
    <s v="Cash"/>
    <s v="Online"/>
    <s v="East-Eve"/>
    <n v="11659.55"/>
    <n v="0.35223672913521031"/>
    <n v="33101.46"/>
  </r>
  <r>
    <n v="1047"/>
    <x v="338"/>
    <s v="David"/>
    <s v="North"/>
    <x v="957"/>
    <n v="41"/>
    <x v="2"/>
    <n v="2888.49"/>
    <n v="2929.45"/>
    <s v="New"/>
    <n v="0.06"/>
    <s v="Cash"/>
    <s v="Retail"/>
    <s v="North-David"/>
    <n v="1679.3600000000015"/>
    <n v="1.3982146819368836E-2"/>
    <n v="120107.45"/>
  </r>
  <r>
    <n v="1056"/>
    <x v="223"/>
    <s v="Charlie"/>
    <s v="North"/>
    <x v="958"/>
    <n v="10"/>
    <x v="2"/>
    <n v="536.80999999999995"/>
    <n v="839.92"/>
    <s v="Returning"/>
    <n v="0.15"/>
    <s v="Bank Transfer"/>
    <s v="Online"/>
    <s v="North-Charlie"/>
    <n v="3031.1000000000004"/>
    <n v="0.36087960758167453"/>
    <n v="8399.1999999999989"/>
  </r>
  <r>
    <n v="1086"/>
    <x v="117"/>
    <s v="Alice"/>
    <s v="South"/>
    <x v="959"/>
    <n v="10"/>
    <x v="0"/>
    <n v="2273.91"/>
    <n v="2578.7999999999902"/>
    <s v="New"/>
    <n v="0.14000000000000001"/>
    <s v="Cash"/>
    <s v="Online"/>
    <s v="South-Alice"/>
    <n v="3048.8999999999032"/>
    <n v="0.11822940902745133"/>
    <n v="25787.999999999902"/>
  </r>
  <r>
    <n v="1014"/>
    <x v="276"/>
    <s v="David"/>
    <s v="East"/>
    <x v="960"/>
    <n v="7"/>
    <x v="2"/>
    <n v="4705.46"/>
    <n v="4747.07"/>
    <s v="New"/>
    <n v="0.27"/>
    <s v="Bank Transfer"/>
    <s v="Retail"/>
    <s v="East-David"/>
    <n v="291.26999999999771"/>
    <n v="8.7654068720283609E-3"/>
    <n v="33229.49"/>
  </r>
  <r>
    <n v="1090"/>
    <x v="108"/>
    <s v="Charlie"/>
    <s v="South"/>
    <x v="961"/>
    <n v="48"/>
    <x v="3"/>
    <n v="4766.53"/>
    <n v="5253.07"/>
    <s v="Returning"/>
    <n v="0.01"/>
    <s v="Bank Transfer"/>
    <s v="Online"/>
    <s v="South-Charlie"/>
    <n v="23353.919999999998"/>
    <n v="9.2620124993575179E-2"/>
    <n v="252147.36"/>
  </r>
  <r>
    <n v="1028"/>
    <x v="252"/>
    <s v="Alice"/>
    <s v="North"/>
    <x v="962"/>
    <n v="38"/>
    <x v="2"/>
    <n v="1234.69"/>
    <n v="1511.26"/>
    <s v="New"/>
    <n v="0.1"/>
    <s v="Bank Transfer"/>
    <s v="Online"/>
    <s v="North-Alice"/>
    <n v="10509.659999999998"/>
    <n v="0.18300623320937492"/>
    <n v="57427.88"/>
  </r>
  <r>
    <n v="1087"/>
    <x v="47"/>
    <s v="Eve"/>
    <s v="North"/>
    <x v="963"/>
    <n v="27"/>
    <x v="1"/>
    <n v="3139.36"/>
    <n v="3423.66"/>
    <s v="New"/>
    <n v="0.18"/>
    <s v="Credit Card"/>
    <s v="Online"/>
    <s v="North-Eve"/>
    <n v="7676.0999999999931"/>
    <n v="8.3039787829398873E-2"/>
    <n v="92438.819999999992"/>
  </r>
  <r>
    <n v="1078"/>
    <x v="218"/>
    <s v="Eve"/>
    <s v="West"/>
    <x v="964"/>
    <n v="33"/>
    <x v="2"/>
    <n v="2396.6799999999998"/>
    <n v="2661.54"/>
    <s v="New"/>
    <n v="0.18"/>
    <s v="Bank Transfer"/>
    <s v="Online"/>
    <s v="West-Eve"/>
    <n v="8740.3800000000047"/>
    <n v="9.9513815309933404E-2"/>
    <n v="87830.819999999992"/>
  </r>
  <r>
    <n v="1088"/>
    <x v="187"/>
    <s v="Eve"/>
    <s v="East"/>
    <x v="965"/>
    <n v="1"/>
    <x v="0"/>
    <n v="4384.6400000000003"/>
    <n v="4693.8999999999996"/>
    <s v="New"/>
    <n v="0.14000000000000001"/>
    <s v="Cash"/>
    <s v="Retail"/>
    <s v="East-Eve"/>
    <n v="309.25999999999931"/>
    <n v="6.5885510982338635E-2"/>
    <n v="4693.8999999999996"/>
  </r>
  <r>
    <n v="1002"/>
    <x v="16"/>
    <s v="Eve"/>
    <s v="North"/>
    <x v="966"/>
    <n v="44"/>
    <x v="0"/>
    <n v="1393.58"/>
    <n v="1533.09"/>
    <s v="Returning"/>
    <n v="0.24"/>
    <s v="Credit Card"/>
    <s v="Retail"/>
    <s v="North-Eve"/>
    <n v="6138.44"/>
    <n v="9.0999223789862305E-2"/>
    <n v="67455.959999999992"/>
  </r>
  <r>
    <n v="1026"/>
    <x v="299"/>
    <s v="Bob"/>
    <s v="West"/>
    <x v="967"/>
    <n v="34"/>
    <x v="3"/>
    <n v="68.33"/>
    <n v="219.07999999999899"/>
    <s v="New"/>
    <n v="0.02"/>
    <s v="Credit Card"/>
    <s v="Online"/>
    <s v="West-Bob"/>
    <n v="5125.4999999999654"/>
    <n v="0.68810480189884826"/>
    <n v="7448.7199999999657"/>
  </r>
  <r>
    <n v="1014"/>
    <x v="317"/>
    <s v="David"/>
    <s v="East"/>
    <x v="968"/>
    <n v="4"/>
    <x v="0"/>
    <n v="854.68"/>
    <n v="1115.24"/>
    <s v="New"/>
    <n v="0.24"/>
    <s v="Credit Card"/>
    <s v="Retail"/>
    <s v="East-David"/>
    <n v="1042.2400000000002"/>
    <n v="0.2336358093325204"/>
    <n v="4460.96"/>
  </r>
  <r>
    <n v="1059"/>
    <x v="258"/>
    <s v="David"/>
    <s v="South"/>
    <x v="969"/>
    <n v="17"/>
    <x v="2"/>
    <n v="1780.14"/>
    <n v="2185.42"/>
    <s v="Returning"/>
    <n v="0.15"/>
    <s v="Credit Card"/>
    <s v="Retail"/>
    <s v="South-David"/>
    <n v="6889.7599999999993"/>
    <n v="0.18544719092897474"/>
    <n v="37152.14"/>
  </r>
  <r>
    <n v="1056"/>
    <x v="92"/>
    <s v="Bob"/>
    <s v="East"/>
    <x v="970"/>
    <n v="4"/>
    <x v="1"/>
    <n v="1612.82"/>
    <n v="1647.25"/>
    <s v="Returning"/>
    <n v="0.04"/>
    <s v="Credit Card"/>
    <s v="Retail"/>
    <s v="East-Bob"/>
    <n v="137.72000000000025"/>
    <n v="2.090150250417366E-2"/>
    <n v="6589"/>
  </r>
  <r>
    <n v="1007"/>
    <x v="229"/>
    <s v="Charlie"/>
    <s v="East"/>
    <x v="971"/>
    <n v="43"/>
    <x v="0"/>
    <n v="3967.25"/>
    <n v="4272.92"/>
    <s v="New"/>
    <n v="0.27"/>
    <s v="Credit Card"/>
    <s v="Online"/>
    <s v="East-Charlie"/>
    <n v="13143.810000000003"/>
    <n v="7.1536560478548644E-2"/>
    <n v="183735.56"/>
  </r>
  <r>
    <n v="1003"/>
    <x v="198"/>
    <s v="Charlie"/>
    <s v="North"/>
    <x v="972"/>
    <n v="26"/>
    <x v="3"/>
    <n v="3418.78"/>
    <n v="3824.1"/>
    <s v="New"/>
    <n v="0.19"/>
    <s v="Credit Card"/>
    <s v="Online"/>
    <s v="North-Charlie"/>
    <n v="10538.319999999992"/>
    <n v="0.10599095211945288"/>
    <n v="99426.599999999991"/>
  </r>
  <r>
    <n v="1023"/>
    <x v="166"/>
    <s v="Eve"/>
    <s v="North"/>
    <x v="973"/>
    <n v="4"/>
    <x v="2"/>
    <n v="1532.8"/>
    <n v="1619.69"/>
    <s v="Returning"/>
    <n v="0.05"/>
    <s v="Bank Transfer"/>
    <s v="Retail"/>
    <s v="North-Eve"/>
    <n v="347.5600000000004"/>
    <n v="5.3646068074755103E-2"/>
    <n v="6478.76"/>
  </r>
  <r>
    <n v="1018"/>
    <x v="30"/>
    <s v="Alice"/>
    <s v="East"/>
    <x v="974"/>
    <n v="1"/>
    <x v="3"/>
    <n v="2315.83"/>
    <n v="2333.19"/>
    <s v="New"/>
    <n v="0.01"/>
    <s v="Cash"/>
    <s v="Retail"/>
    <s v="East-Alice"/>
    <n v="17.360000000000127"/>
    <n v="7.4404570566478203E-3"/>
    <n v="2333.19"/>
  </r>
  <r>
    <n v="1038"/>
    <x v="86"/>
    <s v="Charlie"/>
    <s v="North"/>
    <x v="975"/>
    <n v="7"/>
    <x v="0"/>
    <n v="523.02"/>
    <n v="686.25"/>
    <s v="Returning"/>
    <n v="0.04"/>
    <s v="Cash"/>
    <s v="Online"/>
    <s v="North-Charlie"/>
    <n v="1142.6100000000001"/>
    <n v="0.23785792349726778"/>
    <n v="4803.75"/>
  </r>
  <r>
    <n v="1099"/>
    <x v="329"/>
    <s v="Alice"/>
    <s v="North"/>
    <x v="976"/>
    <n v="30"/>
    <x v="0"/>
    <n v="4495.82"/>
    <n v="4794.0099999999902"/>
    <s v="New"/>
    <n v="0.18"/>
    <s v="Bank Transfer"/>
    <s v="Retail"/>
    <s v="North-Alice"/>
    <n v="8945.6999999997151"/>
    <n v="6.2200537754404171E-2"/>
    <n v="143820.2999999997"/>
  </r>
  <r>
    <n v="1015"/>
    <x v="339"/>
    <s v="David"/>
    <s v="North"/>
    <x v="977"/>
    <n v="9"/>
    <x v="3"/>
    <n v="4680.3500000000004"/>
    <n v="4758.1099999999997"/>
    <s v="Returning"/>
    <n v="0.05"/>
    <s v="Bank Transfer"/>
    <s v="Online"/>
    <s v="North-David"/>
    <n v="699.83999999999378"/>
    <n v="1.6342623436616497E-2"/>
    <n v="42822.99"/>
  </r>
  <r>
    <n v="1064"/>
    <x v="111"/>
    <s v="Alice"/>
    <s v="West"/>
    <x v="978"/>
    <n v="35"/>
    <x v="2"/>
    <n v="4900.03"/>
    <n v="5118.83"/>
    <s v="Returning"/>
    <n v="7.0000000000000007E-2"/>
    <s v="Credit Card"/>
    <s v="Retail"/>
    <s v="West-Alice"/>
    <n v="7658.0000000000064"/>
    <n v="4.274414270448524E-2"/>
    <n v="179159.05"/>
  </r>
  <r>
    <n v="1089"/>
    <x v="136"/>
    <s v="David"/>
    <s v="West"/>
    <x v="979"/>
    <n v="8"/>
    <x v="0"/>
    <n v="4349.34"/>
    <n v="4629.9799999999996"/>
    <s v="Returning"/>
    <n v="0.01"/>
    <s v="Credit Card"/>
    <s v="Online"/>
    <s v="West-David"/>
    <n v="2245.1199999999953"/>
    <n v="6.0613652758759094E-2"/>
    <n v="37039.839999999997"/>
  </r>
  <r>
    <n v="1028"/>
    <x v="82"/>
    <s v="Bob"/>
    <s v="East"/>
    <x v="153"/>
    <n v="24"/>
    <x v="1"/>
    <n v="911.11"/>
    <n v="1214.56"/>
    <s v="New"/>
    <n v="0.22"/>
    <s v="Bank Transfer"/>
    <s v="Online"/>
    <s v="East-Bob"/>
    <n v="7282.7999999999984"/>
    <n v="0.24984356474772754"/>
    <n v="29149.439999999999"/>
  </r>
  <r>
    <n v="1074"/>
    <x v="22"/>
    <s v="Bob"/>
    <s v="North"/>
    <x v="980"/>
    <n v="19"/>
    <x v="0"/>
    <n v="278.67"/>
    <n v="423.13"/>
    <s v="New"/>
    <n v="0.24"/>
    <s v="Credit Card"/>
    <s v="Online"/>
    <s v="North-Bob"/>
    <n v="2744.74"/>
    <n v="0.34140807789568212"/>
    <n v="8039.47"/>
  </r>
  <r>
    <n v="1039"/>
    <x v="97"/>
    <s v="Eve"/>
    <s v="West"/>
    <x v="981"/>
    <n v="36"/>
    <x v="2"/>
    <n v="2919"/>
    <n v="3125.01"/>
    <s v="New"/>
    <n v="0.24"/>
    <s v="Cash"/>
    <s v="Online"/>
    <s v="West-Eve"/>
    <n v="7416.3600000000079"/>
    <n v="6.5922989046435107E-2"/>
    <n v="112500.36000000002"/>
  </r>
  <r>
    <n v="1057"/>
    <x v="130"/>
    <s v="Charlie"/>
    <s v="East"/>
    <x v="982"/>
    <n v="43"/>
    <x v="0"/>
    <n v="4567.3900000000003"/>
    <n v="4958.78"/>
    <s v="New"/>
    <n v="0.04"/>
    <s v="Cash"/>
    <s v="Retail"/>
    <s v="East-Charlie"/>
    <n v="16829.769999999975"/>
    <n v="7.8928688104735328E-2"/>
    <n v="213227.53999999998"/>
  </r>
  <r>
    <n v="1017"/>
    <x v="332"/>
    <s v="Eve"/>
    <s v="North"/>
    <x v="983"/>
    <n v="27"/>
    <x v="3"/>
    <n v="927.89"/>
    <n v="1399.09"/>
    <s v="Returning"/>
    <n v="0.27"/>
    <s v="Credit Card"/>
    <s v="Online"/>
    <s v="North-Eve"/>
    <n v="12722.399999999998"/>
    <n v="0.33679034229391958"/>
    <n v="37775.43"/>
  </r>
  <r>
    <n v="1086"/>
    <x v="62"/>
    <s v="David"/>
    <s v="South"/>
    <x v="984"/>
    <n v="32"/>
    <x v="0"/>
    <n v="84.86"/>
    <n v="517.17999999999995"/>
    <s v="Returning"/>
    <n v="0.2"/>
    <s v="Credit Card"/>
    <s v="Retail"/>
    <s v="South-David"/>
    <n v="13834.239999999998"/>
    <n v="0.83591786225298736"/>
    <n v="16549.759999999998"/>
  </r>
  <r>
    <n v="1090"/>
    <x v="21"/>
    <s v="Eve"/>
    <s v="North"/>
    <x v="985"/>
    <n v="14"/>
    <x v="0"/>
    <n v="4037.21"/>
    <n v="4323.71"/>
    <s v="Returning"/>
    <n v="0.27"/>
    <s v="Credit Card"/>
    <s v="Online"/>
    <s v="North-Eve"/>
    <n v="4011"/>
    <n v="6.6262538421864553E-2"/>
    <n v="60531.94"/>
  </r>
  <r>
    <n v="1044"/>
    <x v="36"/>
    <s v="Alice"/>
    <s v="North"/>
    <x v="986"/>
    <n v="18"/>
    <x v="2"/>
    <n v="430.14"/>
    <n v="641.17999999999995"/>
    <s v="New"/>
    <n v="0.13"/>
    <s v="Cash"/>
    <s v="Online"/>
    <s v="North-Alice"/>
    <n v="3798.7199999999993"/>
    <n v="0.32914314233132658"/>
    <n v="11541.24"/>
  </r>
  <r>
    <n v="1025"/>
    <x v="174"/>
    <s v="David"/>
    <s v="West"/>
    <x v="987"/>
    <n v="28"/>
    <x v="3"/>
    <n v="2097.84"/>
    <n v="2270.9899999999998"/>
    <s v="New"/>
    <n v="0.13"/>
    <s v="Credit Card"/>
    <s v="Retail"/>
    <s v="West-David"/>
    <n v="4848.1999999999898"/>
    <n v="7.6244281128494462E-2"/>
    <n v="63587.719999999994"/>
  </r>
  <r>
    <n v="1017"/>
    <x v="54"/>
    <s v="Bob"/>
    <s v="East"/>
    <x v="988"/>
    <n v="29"/>
    <x v="2"/>
    <n v="3410.49"/>
    <n v="3481.72"/>
    <s v="New"/>
    <n v="0.24"/>
    <s v="Bank Transfer"/>
    <s v="Retail"/>
    <s v="East-Bob"/>
    <n v="2065.6700000000005"/>
    <n v="2.0458279241294539E-2"/>
    <n v="100969.87999999999"/>
  </r>
  <r>
    <n v="1013"/>
    <x v="26"/>
    <s v="Charlie"/>
    <s v="East"/>
    <x v="989"/>
    <n v="16"/>
    <x v="0"/>
    <n v="1222.1500000000001"/>
    <n v="1284.3599999999999"/>
    <s v="Returning"/>
    <n v="0.03"/>
    <s v="Credit Card"/>
    <s v="Retail"/>
    <s v="East-Charlie"/>
    <n v="995.35999999999694"/>
    <n v="4.8436575414992536E-2"/>
    <n v="20549.759999999998"/>
  </r>
  <r>
    <n v="1084"/>
    <x v="331"/>
    <s v="David"/>
    <s v="West"/>
    <x v="990"/>
    <n v="35"/>
    <x v="1"/>
    <n v="465.61"/>
    <n v="812.91"/>
    <s v="New"/>
    <n v="0.16"/>
    <s v="Bank Transfer"/>
    <s v="Online"/>
    <s v="West-David"/>
    <n v="12155.499999999998"/>
    <n v="0.42723056672940418"/>
    <n v="28451.85"/>
  </r>
  <r>
    <n v="1025"/>
    <x v="177"/>
    <s v="David"/>
    <s v="North"/>
    <x v="991"/>
    <n v="47"/>
    <x v="0"/>
    <n v="3861.61"/>
    <n v="3998.91"/>
    <s v="New"/>
    <n v="0.25"/>
    <s v="Credit Card"/>
    <s v="Online"/>
    <s v="North-David"/>
    <n v="6453.0999999999876"/>
    <n v="3.4334356112040471E-2"/>
    <n v="187948.77"/>
  </r>
  <r>
    <n v="1068"/>
    <x v="209"/>
    <s v="Alice"/>
    <s v="South"/>
    <x v="992"/>
    <n v="31"/>
    <x v="2"/>
    <n v="3169.37"/>
    <n v="3304.15"/>
    <s v="Returning"/>
    <n v="0.25"/>
    <s v="Credit Card"/>
    <s v="Retail"/>
    <s v="South-Alice"/>
    <n v="4178.1800000000057"/>
    <n v="4.0791126310851557E-2"/>
    <n v="102428.65000000001"/>
  </r>
  <r>
    <n v="1010"/>
    <x v="297"/>
    <s v="Charlie"/>
    <s v="North"/>
    <x v="993"/>
    <n v="4"/>
    <x v="1"/>
    <n v="4943.03"/>
    <n v="5442.15"/>
    <s v="Returning"/>
    <n v="0.28999999999999998"/>
    <s v="Cash"/>
    <s v="Online"/>
    <s v="North-Charlie"/>
    <n v="1996.4799999999996"/>
    <n v="9.1713752836654616E-2"/>
    <n v="21768.6"/>
  </r>
  <r>
    <n v="1067"/>
    <x v="259"/>
    <s v="Bob"/>
    <s v="North"/>
    <x v="994"/>
    <n v="37"/>
    <x v="2"/>
    <n v="1754.32"/>
    <n v="1856.3999999999901"/>
    <s v="New"/>
    <n v="0.21"/>
    <s v="Bank Transfer"/>
    <s v="Retail"/>
    <s v="North-Bob"/>
    <n v="3776.9599999996353"/>
    <n v="5.4988149105791147E-2"/>
    <n v="68686.799999999639"/>
  </r>
  <r>
    <n v="1018"/>
    <x v="167"/>
    <s v="David"/>
    <s v="South"/>
    <x v="995"/>
    <n v="17"/>
    <x v="2"/>
    <n v="355.72"/>
    <n v="438.27"/>
    <s v="Returning"/>
    <n v="0.06"/>
    <s v="Bank Transfer"/>
    <s v="Online"/>
    <s v="South-David"/>
    <n v="1403.3499999999992"/>
    <n v="0.18835421087457493"/>
    <n v="7450.59"/>
  </r>
  <r>
    <n v="1100"/>
    <x v="266"/>
    <s v="David"/>
    <s v="West"/>
    <x v="996"/>
    <n v="39"/>
    <x v="3"/>
    <n v="3685.03"/>
    <n v="3743.39"/>
    <s v="New"/>
    <n v="0.01"/>
    <s v="Bank Transfer"/>
    <s v="Online"/>
    <s v="West-David"/>
    <n v="2276.0399999999872"/>
    <n v="1.5590146898933767E-2"/>
    <n v="145992.21"/>
  </r>
  <r>
    <n v="1086"/>
    <x v="132"/>
    <s v="Alice"/>
    <s v="East"/>
    <x v="997"/>
    <n v="48"/>
    <x v="1"/>
    <n v="2632.58"/>
    <n v="2926.68"/>
    <s v="Returning"/>
    <n v="0.14000000000000001"/>
    <s v="Cash"/>
    <s v="Online"/>
    <s v="East-Alice"/>
    <n v="14116.799999999996"/>
    <n v="0.10048929162053929"/>
    <n v="140480.63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829A0-538E-49AA-BCF0-1A7586F183DD}" name="TablaDinámica6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19" firstHeaderRow="1" firstDataRow="1" firstDataCol="1"/>
  <pivotFields count="19">
    <pivotField numFmtId="1"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/>
    <pivotField numFmtId="44" showAll="0"/>
    <pivotField numFmtId="1" showAll="0"/>
    <pivotField showAll="0"/>
    <pivotField numFmtId="44" showAll="0"/>
    <pivotField numFmtId="44" showAll="0"/>
    <pivotField showAll="0"/>
    <pivotField numFmtId="10" showAll="0"/>
    <pivotField showAll="0"/>
    <pivotField showAll="0"/>
    <pivotField showAll="0"/>
    <pivotField numFmtId="166" showAll="0"/>
    <pivotField numFmtId="10" showAll="0"/>
    <pivotField dataField="1" numFmtId="4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8"/>
    <field x="17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Suma de Sales_Calculated" fld="16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3F466-F445-49E2-B7F2-B46840598A09}" name="TablaDinámica3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9">
    <pivotField showAll="0"/>
    <pivotField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2"/>
        <item x="3"/>
        <item x="1"/>
        <item x="0"/>
        <item h="1"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numFmtId="10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Suma de Profit" fld="14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247C4-5407-4AF2-A84D-156C5B182FC4}" name="TablaDinámica5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19">
    <pivotField numFmtId="1"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/>
    <pivotField numFmtId="44" showAll="0"/>
    <pivotField numFmtId="1" showAll="0"/>
    <pivotField axis="axisRow" showAll="0">
      <items count="6">
        <item x="2"/>
        <item x="3"/>
        <item x="1"/>
        <item x="0"/>
        <item m="1" x="4"/>
        <item t="default"/>
      </items>
    </pivotField>
    <pivotField numFmtId="44" showAll="0"/>
    <pivotField numFmtId="44" showAll="0"/>
    <pivotField showAll="0"/>
    <pivotField numFmtId="10" showAll="0"/>
    <pivotField showAll="0"/>
    <pivotField showAll="0"/>
    <pivotField showAll="0"/>
    <pivotField numFmtId="166" showAll="0"/>
    <pivotField dataField="1" numFmtId="10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Margin" fld="15" subtotal="average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6DBD0-185B-4660-B00B-6A4E3D908569}" name="Tabla1" displayName="Tabla1" ref="A1:Q1001" totalsRowShown="0" headerRowDxfId="18" dataDxfId="17">
  <autoFilter ref="A1:Q1001" xr:uid="{80C6DBD0-185B-4660-B00B-6A4E3D908569}"/>
  <tableColumns count="17">
    <tableColumn id="1" xr3:uid="{4BD5463B-361D-406F-9BD9-92EE6BFE8596}" name="Product_ID" dataDxfId="6"/>
    <tableColumn id="2" xr3:uid="{60A3F8C7-0675-424F-B2C6-1C7D96CDFCC0}" name="Sale_Date" dataDxfId="4"/>
    <tableColumn id="3" xr3:uid="{BE066C0E-02EB-46F4-BCFD-5687E4D2DB05}" name="Sales_Rep" dataDxfId="5"/>
    <tableColumn id="4" xr3:uid="{ED89BD11-3C76-408D-B5AC-1C9D292CD18A}" name="Region" dataDxfId="16"/>
    <tableColumn id="5" xr3:uid="{2E9DC3C6-7B1D-4113-BB8A-C3B50C075F6B}" name="Sales_Amount" dataDxfId="15" dataCellStyle="Moneda"/>
    <tableColumn id="6" xr3:uid="{4F885FC3-C199-439B-8648-19762C9D7B4F}" name="Quantity_Sold" dataDxfId="14"/>
    <tableColumn id="7" xr3:uid="{B6445E1E-36C2-4E10-B523-1ACE2F7EDEF8}" name="Product_Category" dataDxfId="13"/>
    <tableColumn id="8" xr3:uid="{5C1F604F-7260-4934-97B4-5B24B0FED422}" name="Unit_Cost" dataDxfId="12" dataCellStyle="Moneda"/>
    <tableColumn id="9" xr3:uid="{B17137AF-2C76-41E0-8D23-390C959432DE}" name="Unit_Price" dataDxfId="11" dataCellStyle="Moneda"/>
    <tableColumn id="10" xr3:uid="{AFF4E0AB-0D4D-48D1-8041-A21F35B3A48D}" name="Customer_Type" dataDxfId="10"/>
    <tableColumn id="11" xr3:uid="{DC5623E6-CAAF-4828-B549-F8F421EAFEB5}" name="Discount" dataDxfId="9"/>
    <tableColumn id="12" xr3:uid="{58F20DEA-34D9-49B5-95D1-1C40D6929542}" name="Payment_Method" dataDxfId="8"/>
    <tableColumn id="13" xr3:uid="{D68DB477-2245-4414-BC31-951FBA9AE591}" name="Sales_Channel" dataDxfId="7"/>
    <tableColumn id="14" xr3:uid="{6E94BE62-02F3-4E5B-9018-07B14A2EDDA5}" name="Region_and_Sales_Rep" dataDxfId="3"/>
    <tableColumn id="15" xr3:uid="{BCD686E4-640C-4B3D-8025-EFE7C06A9781}" name="Profit" dataDxfId="2">
      <calculatedColumnFormula xml:space="preserve"> (Tabla1[[#This Row],[Unit_Price]] - Tabla1[[#This Row],[Unit_Cost]] ) * Tabla1[[#This Row],[Quantity_Sold]]</calculatedColumnFormula>
    </tableColumn>
    <tableColumn id="16" xr3:uid="{EE28FBE4-4BA2-48F6-9524-617FA3D72544}" name="Margin" dataDxfId="0">
      <calculatedColumnFormula>Tabla1[[#This Row],[Profit]] / Tabla1[[#This Row],[Sales_Calculated]]</calculatedColumnFormula>
    </tableColumn>
    <tableColumn id="17" xr3:uid="{B68A7CA5-8F07-4D45-B0EF-AACB0C11B42D}" name="Sales_Calculated" dataDxfId="1">
      <calculatedColumnFormula xml:space="preserve"> Tabla1[[#This Row],[Unit_Price]] * Tabla1[[#This Row],[Quantity_Sold]]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4180-3CF5-49CC-ADB8-377D7C92FD00}">
  <dimension ref="A1:Q1001"/>
  <sheetViews>
    <sheetView topLeftCell="A2" workbookViewId="0">
      <selection activeCell="K11" sqref="K11"/>
    </sheetView>
  </sheetViews>
  <sheetFormatPr baseColWidth="10" defaultRowHeight="14.4" x14ac:dyDescent="0.3"/>
  <cols>
    <col min="1" max="1" width="14.5546875" style="2" bestFit="1" customWidth="1"/>
    <col min="2" max="2" width="13.77734375" style="1" bestFit="1" customWidth="1"/>
    <col min="3" max="3" width="14" style="8" bestFit="1" customWidth="1"/>
    <col min="4" max="4" width="11" style="8" bestFit="1" customWidth="1"/>
    <col min="5" max="5" width="17.21875" style="6" bestFit="1" customWidth="1"/>
    <col min="6" max="6" width="17.109375" style="2" bestFit="1" customWidth="1"/>
    <col min="7" max="7" width="20.109375" style="8" bestFit="1" customWidth="1"/>
    <col min="8" max="8" width="17.77734375" style="6" customWidth="1"/>
    <col min="9" max="9" width="14" style="6" customWidth="1"/>
    <col min="10" max="10" width="18.21875" style="8" bestFit="1" customWidth="1"/>
    <col min="11" max="11" width="12.77734375" style="12" bestFit="1" customWidth="1"/>
    <col min="12" max="12" width="19.77734375" style="8" bestFit="1" customWidth="1"/>
    <col min="13" max="13" width="17.5546875" style="8" bestFit="1" customWidth="1"/>
    <col min="14" max="14" width="24.33203125" style="10" bestFit="1" customWidth="1"/>
    <col min="15" max="15" width="14.88671875" style="17" customWidth="1"/>
    <col min="16" max="16" width="11.5546875" style="19"/>
    <col min="17" max="17" width="19.88671875" bestFit="1" customWidth="1"/>
  </cols>
  <sheetData>
    <row r="1" spans="1:17" x14ac:dyDescent="0.3">
      <c r="A1" s="4" t="s">
        <v>0</v>
      </c>
      <c r="B1" s="3" t="s">
        <v>1</v>
      </c>
      <c r="C1" s="7" t="s">
        <v>2</v>
      </c>
      <c r="D1" s="7" t="s">
        <v>3</v>
      </c>
      <c r="E1" s="5" t="s">
        <v>4</v>
      </c>
      <c r="F1" s="4" t="s">
        <v>5</v>
      </c>
      <c r="G1" s="7" t="s">
        <v>6</v>
      </c>
      <c r="H1" s="5" t="s">
        <v>7</v>
      </c>
      <c r="I1" s="5" t="s">
        <v>8</v>
      </c>
      <c r="J1" s="7" t="s">
        <v>9</v>
      </c>
      <c r="K1" s="11" t="s">
        <v>10</v>
      </c>
      <c r="L1" s="7" t="s">
        <v>11</v>
      </c>
      <c r="M1" s="7" t="s">
        <v>12</v>
      </c>
      <c r="N1" s="9" t="s">
        <v>13</v>
      </c>
      <c r="O1" s="16" t="s">
        <v>70</v>
      </c>
      <c r="P1" s="11" t="s">
        <v>72</v>
      </c>
      <c r="Q1" s="7" t="s">
        <v>74</v>
      </c>
    </row>
    <row r="2" spans="1:17" x14ac:dyDescent="0.3">
      <c r="A2" s="2">
        <v>1052</v>
      </c>
      <c r="B2" s="1">
        <v>44960</v>
      </c>
      <c r="C2" s="8" t="s">
        <v>14</v>
      </c>
      <c r="D2" s="8" t="s">
        <v>15</v>
      </c>
      <c r="E2" s="6">
        <v>5053.97</v>
      </c>
      <c r="F2" s="2">
        <v>18</v>
      </c>
      <c r="G2" s="8" t="s">
        <v>16</v>
      </c>
      <c r="H2" s="6">
        <v>152.75</v>
      </c>
      <c r="I2" s="6">
        <v>267.22000000000003</v>
      </c>
      <c r="J2" s="8" t="s">
        <v>17</v>
      </c>
      <c r="K2" s="12">
        <v>0.09</v>
      </c>
      <c r="L2" s="8" t="s">
        <v>18</v>
      </c>
      <c r="M2" s="8" t="s">
        <v>19</v>
      </c>
      <c r="N2" s="10" t="s">
        <v>20</v>
      </c>
      <c r="O2" s="17">
        <f xml:space="preserve"> (Tabla1[[#This Row],[Unit_Price]] - Tabla1[[#This Row],[Unit_Cost]] ) * Tabla1[[#This Row],[Quantity_Sold]]</f>
        <v>2060.4600000000005</v>
      </c>
      <c r="P2" s="12">
        <f>Tabla1[[#This Row],[Profit]] / Tabla1[[#This Row],[Sales_Calculated]]</f>
        <v>0.42837362472868801</v>
      </c>
      <c r="Q2" s="20">
        <f xml:space="preserve"> Tabla1[[#This Row],[Unit_Price]] * Tabla1[[#This Row],[Quantity_Sold]]</f>
        <v>4809.9600000000009</v>
      </c>
    </row>
    <row r="3" spans="1:17" x14ac:dyDescent="0.3">
      <c r="A3" s="2">
        <v>1093</v>
      </c>
      <c r="B3" s="1">
        <v>45037</v>
      </c>
      <c r="C3" s="8" t="s">
        <v>14</v>
      </c>
      <c r="D3" s="8" t="s">
        <v>21</v>
      </c>
      <c r="E3" s="6">
        <v>4384.0200000000004</v>
      </c>
      <c r="F3" s="2">
        <v>17</v>
      </c>
      <c r="G3" s="8" t="s">
        <v>16</v>
      </c>
      <c r="H3" s="6">
        <v>3816.39</v>
      </c>
      <c r="I3" s="6">
        <v>4209.4399999999996</v>
      </c>
      <c r="J3" s="8" t="s">
        <v>17</v>
      </c>
      <c r="K3" s="12">
        <v>0.11</v>
      </c>
      <c r="L3" s="8" t="s">
        <v>18</v>
      </c>
      <c r="M3" s="8" t="s">
        <v>22</v>
      </c>
      <c r="N3" s="10" t="s">
        <v>23</v>
      </c>
      <c r="O3" s="17">
        <f xml:space="preserve"> (Tabla1[[#This Row],[Unit_Price]] - Tabla1[[#This Row],[Unit_Cost]] ) * Tabla1[[#This Row],[Quantity_Sold]]</f>
        <v>6681.8499999999949</v>
      </c>
      <c r="P3" s="12">
        <f>Tabla1[[#This Row],[Profit]] / Tabla1[[#This Row],[Sales_Calculated]]</f>
        <v>9.3373465354061283E-2</v>
      </c>
      <c r="Q3" s="20">
        <f xml:space="preserve"> Tabla1[[#This Row],[Unit_Price]] * Tabla1[[#This Row],[Quantity_Sold]]</f>
        <v>71560.479999999996</v>
      </c>
    </row>
    <row r="4" spans="1:17" x14ac:dyDescent="0.3">
      <c r="A4" s="2">
        <v>1015</v>
      </c>
      <c r="B4" s="1">
        <v>45190</v>
      </c>
      <c r="C4" s="8" t="s">
        <v>24</v>
      </c>
      <c r="D4" s="8" t="s">
        <v>25</v>
      </c>
      <c r="E4" s="6">
        <v>4631.2299999999996</v>
      </c>
      <c r="F4" s="2">
        <v>30</v>
      </c>
      <c r="G4" s="8" t="s">
        <v>26</v>
      </c>
      <c r="H4" s="6">
        <v>261.56</v>
      </c>
      <c r="I4" s="6">
        <v>371.4</v>
      </c>
      <c r="J4" s="8" t="s">
        <v>17</v>
      </c>
      <c r="K4" s="12">
        <v>0.2</v>
      </c>
      <c r="L4" s="8" t="s">
        <v>27</v>
      </c>
      <c r="M4" s="8" t="s">
        <v>22</v>
      </c>
      <c r="N4" s="10" t="s">
        <v>28</v>
      </c>
      <c r="O4" s="17">
        <f xml:space="preserve"> (Tabla1[[#This Row],[Unit_Price]] - Tabla1[[#This Row],[Unit_Cost]] ) * Tabla1[[#This Row],[Quantity_Sold]]</f>
        <v>3295.1999999999994</v>
      </c>
      <c r="P4" s="12">
        <f>Tabla1[[#This Row],[Profit]] / Tabla1[[#This Row],[Sales_Calculated]]</f>
        <v>0.29574582660204624</v>
      </c>
      <c r="Q4" s="20">
        <f xml:space="preserve"> Tabla1[[#This Row],[Unit_Price]] * Tabla1[[#This Row],[Quantity_Sold]]</f>
        <v>11142</v>
      </c>
    </row>
    <row r="5" spans="1:17" x14ac:dyDescent="0.3">
      <c r="A5" s="2">
        <v>1072</v>
      </c>
      <c r="B5" s="1">
        <v>45162</v>
      </c>
      <c r="C5" s="8" t="s">
        <v>14</v>
      </c>
      <c r="D5" s="8" t="s">
        <v>25</v>
      </c>
      <c r="E5" s="6">
        <v>2167.94</v>
      </c>
      <c r="F5" s="2">
        <v>39</v>
      </c>
      <c r="G5" s="8" t="s">
        <v>29</v>
      </c>
      <c r="H5" s="6">
        <v>4330.03</v>
      </c>
      <c r="I5" s="6">
        <v>4467.75</v>
      </c>
      <c r="J5" s="8" t="s">
        <v>30</v>
      </c>
      <c r="K5" s="12">
        <v>0.02</v>
      </c>
      <c r="L5" s="8" t="s">
        <v>31</v>
      </c>
      <c r="M5" s="8" t="s">
        <v>22</v>
      </c>
      <c r="N5" s="10" t="s">
        <v>32</v>
      </c>
      <c r="O5" s="17">
        <f xml:space="preserve"> (Tabla1[[#This Row],[Unit_Price]] - Tabla1[[#This Row],[Unit_Cost]] ) * Tabla1[[#This Row],[Quantity_Sold]]</f>
        <v>5371.0800000000099</v>
      </c>
      <c r="P5" s="12">
        <f>Tabla1[[#This Row],[Profit]] / Tabla1[[#This Row],[Sales_Calculated]]</f>
        <v>3.0825359521011751E-2</v>
      </c>
      <c r="Q5" s="20">
        <f xml:space="preserve"> Tabla1[[#This Row],[Unit_Price]] * Tabla1[[#This Row],[Quantity_Sold]]</f>
        <v>174242.25</v>
      </c>
    </row>
    <row r="6" spans="1:17" x14ac:dyDescent="0.3">
      <c r="A6" s="2">
        <v>1061</v>
      </c>
      <c r="B6" s="1">
        <v>45009</v>
      </c>
      <c r="C6" s="8" t="s">
        <v>33</v>
      </c>
      <c r="D6" s="8" t="s">
        <v>34</v>
      </c>
      <c r="E6" s="6">
        <v>3750.2</v>
      </c>
      <c r="F6" s="2">
        <v>13</v>
      </c>
      <c r="G6" s="8" t="s">
        <v>35</v>
      </c>
      <c r="H6" s="6">
        <v>637.37</v>
      </c>
      <c r="I6" s="6">
        <v>692.71</v>
      </c>
      <c r="J6" s="8" t="s">
        <v>30</v>
      </c>
      <c r="K6" s="12">
        <v>0.08</v>
      </c>
      <c r="L6" s="8" t="s">
        <v>31</v>
      </c>
      <c r="M6" s="8" t="s">
        <v>19</v>
      </c>
      <c r="N6" s="10" t="s">
        <v>36</v>
      </c>
      <c r="O6" s="17">
        <f xml:space="preserve"> (Tabla1[[#This Row],[Unit_Price]] - Tabla1[[#This Row],[Unit_Cost]] ) * Tabla1[[#This Row],[Quantity_Sold]]</f>
        <v>719.42000000000041</v>
      </c>
      <c r="P6" s="12">
        <f>Tabla1[[#This Row],[Profit]] / Tabla1[[#This Row],[Sales_Calculated]]</f>
        <v>7.9889131093819968E-2</v>
      </c>
      <c r="Q6" s="20">
        <f xml:space="preserve"> Tabla1[[#This Row],[Unit_Price]] * Tabla1[[#This Row],[Quantity_Sold]]</f>
        <v>9005.23</v>
      </c>
    </row>
    <row r="7" spans="1:17" x14ac:dyDescent="0.3">
      <c r="A7" s="2">
        <v>1021</v>
      </c>
      <c r="B7" s="1">
        <v>44968</v>
      </c>
      <c r="C7" s="8" t="s">
        <v>33</v>
      </c>
      <c r="D7" s="8" t="s">
        <v>21</v>
      </c>
      <c r="E7" s="6">
        <v>3761.15</v>
      </c>
      <c r="F7" s="2">
        <v>32</v>
      </c>
      <c r="G7" s="8" t="s">
        <v>26</v>
      </c>
      <c r="H7" s="6">
        <v>900.79</v>
      </c>
      <c r="I7" s="6">
        <v>1106.51</v>
      </c>
      <c r="J7" s="8" t="s">
        <v>30</v>
      </c>
      <c r="K7" s="12">
        <v>0.21</v>
      </c>
      <c r="L7" s="8" t="s">
        <v>18</v>
      </c>
      <c r="M7" s="8" t="s">
        <v>19</v>
      </c>
      <c r="N7" s="10" t="s">
        <v>37</v>
      </c>
      <c r="O7" s="17">
        <f xml:space="preserve"> (Tabla1[[#This Row],[Unit_Price]] - Tabla1[[#This Row],[Unit_Cost]] ) * Tabla1[[#This Row],[Quantity_Sold]]</f>
        <v>6583.0400000000009</v>
      </c>
      <c r="P7" s="12">
        <f>Tabla1[[#This Row],[Profit]] / Tabla1[[#This Row],[Sales_Calculated]]</f>
        <v>0.18591788596578435</v>
      </c>
      <c r="Q7" s="20">
        <f xml:space="preserve"> Tabla1[[#This Row],[Unit_Price]] * Tabla1[[#This Row],[Quantity_Sold]]</f>
        <v>35408.32</v>
      </c>
    </row>
    <row r="8" spans="1:17" x14ac:dyDescent="0.3">
      <c r="A8" s="2">
        <v>1083</v>
      </c>
      <c r="B8" s="1">
        <v>45027</v>
      </c>
      <c r="C8" s="8" t="s">
        <v>14</v>
      </c>
      <c r="D8" s="8" t="s">
        <v>21</v>
      </c>
      <c r="E8" s="6">
        <v>618.30999999999995</v>
      </c>
      <c r="F8" s="2">
        <v>29</v>
      </c>
      <c r="G8" s="8" t="s">
        <v>16</v>
      </c>
      <c r="H8" s="6">
        <v>2408.81</v>
      </c>
      <c r="I8" s="6">
        <v>2624.09</v>
      </c>
      <c r="J8" s="8" t="s">
        <v>17</v>
      </c>
      <c r="K8" s="12">
        <v>0.14000000000000001</v>
      </c>
      <c r="L8" s="8" t="s">
        <v>18</v>
      </c>
      <c r="M8" s="8" t="s">
        <v>19</v>
      </c>
      <c r="N8" s="10" t="s">
        <v>23</v>
      </c>
      <c r="O8" s="17">
        <f xml:space="preserve"> (Tabla1[[#This Row],[Unit_Price]] - Tabla1[[#This Row],[Unit_Cost]] ) * Tabla1[[#This Row],[Quantity_Sold]]</f>
        <v>6243.1200000000063</v>
      </c>
      <c r="P8" s="12">
        <f>Tabla1[[#This Row],[Profit]] / Tabla1[[#This Row],[Sales_Calculated]]</f>
        <v>8.2039869059369233E-2</v>
      </c>
      <c r="Q8" s="20">
        <f xml:space="preserve"> Tabla1[[#This Row],[Unit_Price]] * Tabla1[[#This Row],[Quantity_Sold]]</f>
        <v>76098.61</v>
      </c>
    </row>
    <row r="9" spans="1:17" x14ac:dyDescent="0.3">
      <c r="A9" s="2">
        <v>1087</v>
      </c>
      <c r="B9" s="1">
        <v>44932</v>
      </c>
      <c r="C9" s="8" t="s">
        <v>38</v>
      </c>
      <c r="D9" s="8" t="s">
        <v>25</v>
      </c>
      <c r="E9" s="6">
        <v>7698.92</v>
      </c>
      <c r="F9" s="2">
        <v>46</v>
      </c>
      <c r="G9" s="8" t="s">
        <v>16</v>
      </c>
      <c r="H9" s="6">
        <v>3702.51</v>
      </c>
      <c r="I9" s="6">
        <v>3964.65</v>
      </c>
      <c r="J9" s="8" t="s">
        <v>30</v>
      </c>
      <c r="K9" s="12">
        <v>0.12</v>
      </c>
      <c r="L9" s="8" t="s">
        <v>27</v>
      </c>
      <c r="M9" s="8" t="s">
        <v>19</v>
      </c>
      <c r="N9" s="10" t="s">
        <v>39</v>
      </c>
      <c r="O9" s="17">
        <f xml:space="preserve"> (Tabla1[[#This Row],[Unit_Price]] - Tabla1[[#This Row],[Unit_Cost]] ) * Tabla1[[#This Row],[Quantity_Sold]]</f>
        <v>12058.439999999995</v>
      </c>
      <c r="P9" s="12">
        <f>Tabla1[[#This Row],[Profit]] / Tabla1[[#This Row],[Sales_Calculated]]</f>
        <v>6.6119329575120095E-2</v>
      </c>
      <c r="Q9" s="20">
        <f xml:space="preserve"> Tabla1[[#This Row],[Unit_Price]] * Tabla1[[#This Row],[Quantity_Sold]]</f>
        <v>182373.9</v>
      </c>
    </row>
    <row r="10" spans="1:17" x14ac:dyDescent="0.3">
      <c r="A10" s="2">
        <v>1075</v>
      </c>
      <c r="B10" s="1">
        <v>45106</v>
      </c>
      <c r="C10" s="8" t="s">
        <v>24</v>
      </c>
      <c r="D10" s="8" t="s">
        <v>25</v>
      </c>
      <c r="E10" s="6">
        <v>4223.3900000000003</v>
      </c>
      <c r="F10" s="2">
        <v>30</v>
      </c>
      <c r="G10" s="8" t="s">
        <v>16</v>
      </c>
      <c r="H10" s="6">
        <v>738.06</v>
      </c>
      <c r="I10" s="6">
        <v>1095.44999999999</v>
      </c>
      <c r="J10" s="8" t="s">
        <v>30</v>
      </c>
      <c r="K10" s="12">
        <v>0.05</v>
      </c>
      <c r="L10" s="8" t="s">
        <v>27</v>
      </c>
      <c r="M10" s="8" t="s">
        <v>19</v>
      </c>
      <c r="N10" s="10" t="s">
        <v>28</v>
      </c>
      <c r="O10" s="17">
        <f xml:space="preserve"> (Tabla1[[#This Row],[Unit_Price]] - Tabla1[[#This Row],[Unit_Cost]] ) * Tabla1[[#This Row],[Quantity_Sold]]</f>
        <v>10721.699999999702</v>
      </c>
      <c r="P10" s="12">
        <f>Tabla1[[#This Row],[Profit]] / Tabla1[[#This Row],[Sales_Calculated]]</f>
        <v>0.32624948651238606</v>
      </c>
      <c r="Q10" s="20">
        <f xml:space="preserve"> Tabla1[[#This Row],[Unit_Price]] * Tabla1[[#This Row],[Quantity_Sold]]</f>
        <v>32863.499999999702</v>
      </c>
    </row>
    <row r="11" spans="1:17" x14ac:dyDescent="0.3">
      <c r="A11" s="2">
        <v>1075</v>
      </c>
      <c r="B11" s="1">
        <v>45208</v>
      </c>
      <c r="C11" s="8" t="s">
        <v>33</v>
      </c>
      <c r="D11" s="8" t="s">
        <v>21</v>
      </c>
      <c r="E11" s="6">
        <v>8239.58</v>
      </c>
      <c r="F11" s="2">
        <v>18</v>
      </c>
      <c r="G11" s="8" t="s">
        <v>29</v>
      </c>
      <c r="H11" s="6">
        <v>2228.35</v>
      </c>
      <c r="I11" s="6">
        <v>2682.34</v>
      </c>
      <c r="J11" s="8" t="s">
        <v>30</v>
      </c>
      <c r="K11" s="12">
        <v>0.13</v>
      </c>
      <c r="L11" s="8" t="s">
        <v>27</v>
      </c>
      <c r="M11" s="8" t="s">
        <v>19</v>
      </c>
      <c r="N11" s="10" t="s">
        <v>37</v>
      </c>
      <c r="O11" s="17">
        <f xml:space="preserve"> (Tabla1[[#This Row],[Unit_Price]] - Tabla1[[#This Row],[Unit_Cost]] ) * Tabla1[[#This Row],[Quantity_Sold]]</f>
        <v>8171.8200000000043</v>
      </c>
      <c r="P11" s="12">
        <f>Tabla1[[#This Row],[Profit]] / Tabla1[[#This Row],[Sales_Calculated]]</f>
        <v>0.1692514744588681</v>
      </c>
      <c r="Q11" s="20">
        <f xml:space="preserve"> Tabla1[[#This Row],[Unit_Price]] * Tabla1[[#This Row],[Quantity_Sold]]</f>
        <v>48282.12</v>
      </c>
    </row>
    <row r="12" spans="1:17" x14ac:dyDescent="0.3">
      <c r="A12" s="2">
        <v>1088</v>
      </c>
      <c r="B12" s="1">
        <v>45246</v>
      </c>
      <c r="C12" s="8" t="s">
        <v>38</v>
      </c>
      <c r="D12" s="8" t="s">
        <v>15</v>
      </c>
      <c r="E12" s="6">
        <v>8518.4500000000007</v>
      </c>
      <c r="F12" s="2">
        <v>13</v>
      </c>
      <c r="G12" s="8" t="s">
        <v>16</v>
      </c>
      <c r="H12" s="6">
        <v>2440.11</v>
      </c>
      <c r="I12" s="6">
        <v>2517.6</v>
      </c>
      <c r="J12" s="8" t="s">
        <v>30</v>
      </c>
      <c r="K12" s="12">
        <v>0.23</v>
      </c>
      <c r="L12" s="8" t="s">
        <v>27</v>
      </c>
      <c r="M12" s="8" t="s">
        <v>22</v>
      </c>
      <c r="N12" s="10" t="s">
        <v>40</v>
      </c>
      <c r="O12" s="17">
        <f xml:space="preserve"> (Tabla1[[#This Row],[Unit_Price]] - Tabla1[[#This Row],[Unit_Cost]] ) * Tabla1[[#This Row],[Quantity_Sold]]</f>
        <v>1007.3699999999972</v>
      </c>
      <c r="P12" s="12">
        <f>Tabla1[[#This Row],[Profit]] / Tabla1[[#This Row],[Sales_Calculated]]</f>
        <v>3.077931363203042E-2</v>
      </c>
      <c r="Q12" s="20">
        <f xml:space="preserve"> Tabla1[[#This Row],[Unit_Price]] * Tabla1[[#This Row],[Quantity_Sold]]</f>
        <v>32728.799999999999</v>
      </c>
    </row>
    <row r="13" spans="1:17" x14ac:dyDescent="0.3">
      <c r="A13" s="2">
        <v>1100</v>
      </c>
      <c r="B13" s="1">
        <v>45152</v>
      </c>
      <c r="C13" s="8" t="s">
        <v>14</v>
      </c>
      <c r="D13" s="8" t="s">
        <v>21</v>
      </c>
      <c r="E13" s="6">
        <v>2198.7399999999998</v>
      </c>
      <c r="F13" s="2">
        <v>43</v>
      </c>
      <c r="G13" s="8" t="s">
        <v>26</v>
      </c>
      <c r="H13" s="6">
        <v>1100.81</v>
      </c>
      <c r="I13" s="6">
        <v>1137.44</v>
      </c>
      <c r="J13" s="8" t="s">
        <v>17</v>
      </c>
      <c r="K13" s="12">
        <v>0.08</v>
      </c>
      <c r="L13" s="8" t="s">
        <v>27</v>
      </c>
      <c r="M13" s="8" t="s">
        <v>19</v>
      </c>
      <c r="N13" s="10" t="s">
        <v>23</v>
      </c>
      <c r="O13" s="17">
        <f xml:space="preserve"> (Tabla1[[#This Row],[Unit_Price]] - Tabla1[[#This Row],[Unit_Cost]] ) * Tabla1[[#This Row],[Quantity_Sold]]</f>
        <v>1575.0900000000047</v>
      </c>
      <c r="P13" s="12">
        <f>Tabla1[[#This Row],[Profit]] / Tabla1[[#This Row],[Sales_Calculated]]</f>
        <v>3.2203896469264408E-2</v>
      </c>
      <c r="Q13" s="20">
        <f xml:space="preserve"> Tabla1[[#This Row],[Unit_Price]] * Tabla1[[#This Row],[Quantity_Sold]]</f>
        <v>48909.920000000006</v>
      </c>
    </row>
    <row r="14" spans="1:17" x14ac:dyDescent="0.3">
      <c r="A14" s="2">
        <v>1024</v>
      </c>
      <c r="B14" s="1">
        <v>45241</v>
      </c>
      <c r="C14" s="8" t="s">
        <v>38</v>
      </c>
      <c r="D14" s="8" t="s">
        <v>21</v>
      </c>
      <c r="E14" s="6">
        <v>6607.8</v>
      </c>
      <c r="F14" s="2">
        <v>21</v>
      </c>
      <c r="G14" s="8" t="s">
        <v>26</v>
      </c>
      <c r="H14" s="6">
        <v>622.01</v>
      </c>
      <c r="I14" s="6">
        <v>641.09</v>
      </c>
      <c r="J14" s="8" t="s">
        <v>17</v>
      </c>
      <c r="K14" s="12">
        <v>0</v>
      </c>
      <c r="L14" s="8" t="s">
        <v>27</v>
      </c>
      <c r="M14" s="8" t="s">
        <v>22</v>
      </c>
      <c r="N14" s="10" t="s">
        <v>41</v>
      </c>
      <c r="O14" s="17">
        <f xml:space="preserve"> (Tabla1[[#This Row],[Unit_Price]] - Tabla1[[#This Row],[Unit_Cost]] ) * Tabla1[[#This Row],[Quantity_Sold]]</f>
        <v>400.68000000000086</v>
      </c>
      <c r="P14" s="12">
        <f>Tabla1[[#This Row],[Profit]] / Tabla1[[#This Row],[Sales_Calculated]]</f>
        <v>2.9761811914083888E-2</v>
      </c>
      <c r="Q14" s="20">
        <f xml:space="preserve"> Tabla1[[#This Row],[Unit_Price]] * Tabla1[[#This Row],[Quantity_Sold]]</f>
        <v>13462.890000000001</v>
      </c>
    </row>
    <row r="15" spans="1:17" x14ac:dyDescent="0.3">
      <c r="A15" s="2">
        <v>1003</v>
      </c>
      <c r="B15" s="1">
        <v>45291</v>
      </c>
      <c r="C15" s="8" t="s">
        <v>42</v>
      </c>
      <c r="D15" s="8" t="s">
        <v>25</v>
      </c>
      <c r="E15" s="6">
        <v>4775.59</v>
      </c>
      <c r="F15" s="2">
        <v>30</v>
      </c>
      <c r="G15" s="8" t="s">
        <v>16</v>
      </c>
      <c r="H15" s="6">
        <v>4190.28</v>
      </c>
      <c r="I15" s="6">
        <v>4270.6499999999996</v>
      </c>
      <c r="J15" s="8" t="s">
        <v>30</v>
      </c>
      <c r="K15" s="12">
        <v>0.2</v>
      </c>
      <c r="L15" s="8" t="s">
        <v>18</v>
      </c>
      <c r="M15" s="8" t="s">
        <v>19</v>
      </c>
      <c r="N15" s="10" t="s">
        <v>43</v>
      </c>
      <c r="O15" s="17">
        <f xml:space="preserve"> (Tabla1[[#This Row],[Unit_Price]] - Tabla1[[#This Row],[Unit_Cost]] ) * Tabla1[[#This Row],[Quantity_Sold]]</f>
        <v>2411.0999999999967</v>
      </c>
      <c r="P15" s="12">
        <f>Tabla1[[#This Row],[Profit]] / Tabla1[[#This Row],[Sales_Calculated]]</f>
        <v>1.8819149309824007E-2</v>
      </c>
      <c r="Q15" s="20">
        <f xml:space="preserve"> Tabla1[[#This Row],[Unit_Price]] * Tabla1[[#This Row],[Quantity_Sold]]</f>
        <v>128119.49999999999</v>
      </c>
    </row>
    <row r="16" spans="1:17" x14ac:dyDescent="0.3">
      <c r="A16" s="2">
        <v>1022</v>
      </c>
      <c r="B16" s="1">
        <v>45155</v>
      </c>
      <c r="C16" s="8" t="s">
        <v>33</v>
      </c>
      <c r="D16" s="8" t="s">
        <v>25</v>
      </c>
      <c r="E16" s="6">
        <v>8813.5499999999993</v>
      </c>
      <c r="F16" s="2">
        <v>21</v>
      </c>
      <c r="G16" s="8" t="s">
        <v>26</v>
      </c>
      <c r="H16" s="6">
        <v>2537.1999999999998</v>
      </c>
      <c r="I16" s="6">
        <v>2869.6</v>
      </c>
      <c r="J16" s="8" t="s">
        <v>30</v>
      </c>
      <c r="K16" s="12">
        <v>0.28999999999999998</v>
      </c>
      <c r="L16" s="8" t="s">
        <v>27</v>
      </c>
      <c r="M16" s="8" t="s">
        <v>22</v>
      </c>
      <c r="N16" s="10" t="s">
        <v>44</v>
      </c>
      <c r="O16" s="17">
        <f xml:space="preserve"> (Tabla1[[#This Row],[Unit_Price]] - Tabla1[[#This Row],[Unit_Cost]] ) * Tabla1[[#This Row],[Quantity_Sold]]</f>
        <v>6980.4000000000015</v>
      </c>
      <c r="P16" s="12">
        <f>Tabla1[[#This Row],[Profit]] / Tabla1[[#This Row],[Sales_Calculated]]</f>
        <v>0.11583495957624759</v>
      </c>
      <c r="Q16" s="20">
        <f xml:space="preserve"> Tabla1[[#This Row],[Unit_Price]] * Tabla1[[#This Row],[Quantity_Sold]]</f>
        <v>60261.599999999999</v>
      </c>
    </row>
    <row r="17" spans="1:17" x14ac:dyDescent="0.3">
      <c r="A17" s="2">
        <v>1053</v>
      </c>
      <c r="B17" s="1">
        <v>45215</v>
      </c>
      <c r="C17" s="8" t="s">
        <v>14</v>
      </c>
      <c r="D17" s="8" t="s">
        <v>15</v>
      </c>
      <c r="E17" s="6">
        <v>2235.83</v>
      </c>
      <c r="F17" s="2">
        <v>48</v>
      </c>
      <c r="G17" s="8" t="s">
        <v>16</v>
      </c>
      <c r="H17" s="6">
        <v>121.19</v>
      </c>
      <c r="I17" s="6">
        <v>487.65</v>
      </c>
      <c r="J17" s="8" t="s">
        <v>30</v>
      </c>
      <c r="K17" s="12">
        <v>0.18</v>
      </c>
      <c r="L17" s="8" t="s">
        <v>18</v>
      </c>
      <c r="M17" s="8" t="s">
        <v>22</v>
      </c>
      <c r="N17" s="10" t="s">
        <v>20</v>
      </c>
      <c r="O17" s="17">
        <f xml:space="preserve"> (Tabla1[[#This Row],[Unit_Price]] - Tabla1[[#This Row],[Unit_Cost]] ) * Tabla1[[#This Row],[Quantity_Sold]]</f>
        <v>17590.079999999998</v>
      </c>
      <c r="P17" s="12">
        <f>Tabla1[[#This Row],[Profit]] / Tabla1[[#This Row],[Sales_Calculated]]</f>
        <v>0.75148159540654158</v>
      </c>
      <c r="Q17" s="20">
        <f xml:space="preserve"> Tabla1[[#This Row],[Unit_Price]] * Tabla1[[#This Row],[Quantity_Sold]]</f>
        <v>23407.199999999997</v>
      </c>
    </row>
    <row r="18" spans="1:17" x14ac:dyDescent="0.3">
      <c r="A18" s="2">
        <v>1002</v>
      </c>
      <c r="B18" s="1">
        <v>45076</v>
      </c>
      <c r="C18" s="8" t="s">
        <v>24</v>
      </c>
      <c r="D18" s="8" t="s">
        <v>15</v>
      </c>
      <c r="E18" s="6">
        <v>6810.35</v>
      </c>
      <c r="F18" s="2">
        <v>17</v>
      </c>
      <c r="G18" s="8" t="s">
        <v>16</v>
      </c>
      <c r="H18" s="6">
        <v>4024.76</v>
      </c>
      <c r="I18" s="6">
        <v>4420.1499999999996</v>
      </c>
      <c r="J18" s="8" t="s">
        <v>17</v>
      </c>
      <c r="K18" s="12">
        <v>0.04</v>
      </c>
      <c r="L18" s="8" t="s">
        <v>18</v>
      </c>
      <c r="M18" s="8" t="s">
        <v>19</v>
      </c>
      <c r="N18" s="10" t="s">
        <v>45</v>
      </c>
      <c r="O18" s="17">
        <f xml:space="preserve"> (Tabla1[[#This Row],[Unit_Price]] - Tabla1[[#This Row],[Unit_Cost]] ) * Tabla1[[#This Row],[Quantity_Sold]]</f>
        <v>6721.6299999999901</v>
      </c>
      <c r="P18" s="12">
        <f>Tabla1[[#This Row],[Profit]] / Tabla1[[#This Row],[Sales_Calculated]]</f>
        <v>8.9451715439521171E-2</v>
      </c>
      <c r="Q18" s="20">
        <f xml:space="preserve"> Tabla1[[#This Row],[Unit_Price]] * Tabla1[[#This Row],[Quantity_Sold]]</f>
        <v>75142.549999999988</v>
      </c>
    </row>
    <row r="19" spans="1:17" x14ac:dyDescent="0.3">
      <c r="A19" s="2">
        <v>1088</v>
      </c>
      <c r="B19" s="1">
        <v>45203</v>
      </c>
      <c r="C19" s="8" t="s">
        <v>14</v>
      </c>
      <c r="D19" s="8" t="s">
        <v>34</v>
      </c>
      <c r="E19" s="6">
        <v>6116.75</v>
      </c>
      <c r="F19" s="2">
        <v>40</v>
      </c>
      <c r="G19" s="8" t="s">
        <v>35</v>
      </c>
      <c r="H19" s="6">
        <v>4904.93</v>
      </c>
      <c r="I19" s="6">
        <v>5034.3500000000004</v>
      </c>
      <c r="J19" s="8" t="s">
        <v>30</v>
      </c>
      <c r="K19" s="12">
        <v>0.1</v>
      </c>
      <c r="L19" s="8" t="s">
        <v>31</v>
      </c>
      <c r="M19" s="8" t="s">
        <v>22</v>
      </c>
      <c r="N19" s="10" t="s">
        <v>46</v>
      </c>
      <c r="O19" s="17">
        <f xml:space="preserve"> (Tabla1[[#This Row],[Unit_Price]] - Tabla1[[#This Row],[Unit_Cost]] ) * Tabla1[[#This Row],[Quantity_Sold]]</f>
        <v>5176.8000000000029</v>
      </c>
      <c r="P19" s="12">
        <f>Tabla1[[#This Row],[Profit]] / Tabla1[[#This Row],[Sales_Calculated]]</f>
        <v>2.570739022912592E-2</v>
      </c>
      <c r="Q19" s="20">
        <f xml:space="preserve"> Tabla1[[#This Row],[Unit_Price]] * Tabla1[[#This Row],[Quantity_Sold]]</f>
        <v>201374</v>
      </c>
    </row>
    <row r="20" spans="1:17" x14ac:dyDescent="0.3">
      <c r="A20" s="2">
        <v>1030</v>
      </c>
      <c r="B20" s="1">
        <v>45124</v>
      </c>
      <c r="C20" s="8" t="s">
        <v>24</v>
      </c>
      <c r="D20" s="8" t="s">
        <v>21</v>
      </c>
      <c r="E20" s="6">
        <v>3023.48</v>
      </c>
      <c r="F20" s="2">
        <v>19</v>
      </c>
      <c r="G20" s="8" t="s">
        <v>29</v>
      </c>
      <c r="H20" s="6">
        <v>3049.33</v>
      </c>
      <c r="I20" s="6">
        <v>3209.22</v>
      </c>
      <c r="J20" s="8" t="s">
        <v>17</v>
      </c>
      <c r="K20" s="12">
        <v>0.26</v>
      </c>
      <c r="L20" s="8" t="s">
        <v>18</v>
      </c>
      <c r="M20" s="8" t="s">
        <v>19</v>
      </c>
      <c r="N20" s="10" t="s">
        <v>47</v>
      </c>
      <c r="O20" s="17">
        <f xml:space="preserve"> (Tabla1[[#This Row],[Unit_Price]] - Tabla1[[#This Row],[Unit_Cost]] ) * Tabla1[[#This Row],[Quantity_Sold]]</f>
        <v>3037.9099999999976</v>
      </c>
      <c r="P20" s="12">
        <f>Tabla1[[#This Row],[Profit]] / Tabla1[[#This Row],[Sales_Calculated]]</f>
        <v>4.9822075145985592E-2</v>
      </c>
      <c r="Q20" s="20">
        <f xml:space="preserve"> Tabla1[[#This Row],[Unit_Price]] * Tabla1[[#This Row],[Quantity_Sold]]</f>
        <v>60975.179999999993</v>
      </c>
    </row>
    <row r="21" spans="1:17" x14ac:dyDescent="0.3">
      <c r="A21" s="2">
        <v>1038</v>
      </c>
      <c r="B21" s="1">
        <v>44996</v>
      </c>
      <c r="C21" s="8" t="s">
        <v>14</v>
      </c>
      <c r="D21" s="8" t="s">
        <v>25</v>
      </c>
      <c r="E21" s="6">
        <v>1452.35</v>
      </c>
      <c r="F21" s="2">
        <v>15</v>
      </c>
      <c r="G21" s="8" t="s">
        <v>29</v>
      </c>
      <c r="H21" s="6">
        <v>2543.36</v>
      </c>
      <c r="I21" s="6">
        <v>2790.1</v>
      </c>
      <c r="J21" s="8" t="s">
        <v>17</v>
      </c>
      <c r="K21" s="12">
        <v>7.0000000000000007E-2</v>
      </c>
      <c r="L21" s="8" t="s">
        <v>18</v>
      </c>
      <c r="M21" s="8" t="s">
        <v>19</v>
      </c>
      <c r="N21" s="10" t="s">
        <v>32</v>
      </c>
      <c r="O21" s="17">
        <f xml:space="preserve"> (Tabla1[[#This Row],[Unit_Price]] - Tabla1[[#This Row],[Unit_Cost]] ) * Tabla1[[#This Row],[Quantity_Sold]]</f>
        <v>3701.0999999999967</v>
      </c>
      <c r="P21" s="12">
        <f>Tabla1[[#This Row],[Profit]] / Tabla1[[#This Row],[Sales_Calculated]]</f>
        <v>8.8434106304433449E-2</v>
      </c>
      <c r="Q21" s="20">
        <f xml:space="preserve"> Tabla1[[#This Row],[Unit_Price]] * Tabla1[[#This Row],[Quantity_Sold]]</f>
        <v>41851.5</v>
      </c>
    </row>
    <row r="22" spans="1:17" x14ac:dyDescent="0.3">
      <c r="A22" s="2">
        <v>1002</v>
      </c>
      <c r="B22" s="1">
        <v>45038</v>
      </c>
      <c r="C22" s="8" t="s">
        <v>38</v>
      </c>
      <c r="D22" s="8" t="s">
        <v>15</v>
      </c>
      <c r="E22" s="6">
        <v>6551.23</v>
      </c>
      <c r="F22" s="2">
        <v>9</v>
      </c>
      <c r="G22" s="8" t="s">
        <v>35</v>
      </c>
      <c r="H22" s="6">
        <v>4398.16</v>
      </c>
      <c r="I22" s="6">
        <v>4439.12</v>
      </c>
      <c r="J22" s="8" t="s">
        <v>30</v>
      </c>
      <c r="K22" s="12">
        <v>0.18</v>
      </c>
      <c r="L22" s="8" t="s">
        <v>27</v>
      </c>
      <c r="M22" s="8" t="s">
        <v>19</v>
      </c>
      <c r="N22" s="10" t="s">
        <v>40</v>
      </c>
      <c r="O22" s="17">
        <f xml:space="preserve"> (Tabla1[[#This Row],[Unit_Price]] - Tabla1[[#This Row],[Unit_Cost]] ) * Tabla1[[#This Row],[Quantity_Sold]]</f>
        <v>368.64000000000033</v>
      </c>
      <c r="P22" s="12">
        <f>Tabla1[[#This Row],[Profit]] / Tabla1[[#This Row],[Sales_Calculated]]</f>
        <v>9.227054010704833E-3</v>
      </c>
      <c r="Q22" s="20">
        <f xml:space="preserve"> Tabla1[[#This Row],[Unit_Price]] * Tabla1[[#This Row],[Quantity_Sold]]</f>
        <v>39952.080000000002</v>
      </c>
    </row>
    <row r="23" spans="1:17" x14ac:dyDescent="0.3">
      <c r="A23" s="2">
        <v>1064</v>
      </c>
      <c r="B23" s="1">
        <v>44930</v>
      </c>
      <c r="C23" s="8" t="s">
        <v>38</v>
      </c>
      <c r="D23" s="8" t="s">
        <v>34</v>
      </c>
      <c r="E23" s="6">
        <v>7412.11</v>
      </c>
      <c r="F23" s="2">
        <v>10</v>
      </c>
      <c r="G23" s="8" t="s">
        <v>35</v>
      </c>
      <c r="H23" s="6">
        <v>4764.96</v>
      </c>
      <c r="I23" s="6">
        <v>5074.42</v>
      </c>
      <c r="J23" s="8" t="s">
        <v>30</v>
      </c>
      <c r="K23" s="12">
        <v>0.12</v>
      </c>
      <c r="L23" s="8" t="s">
        <v>18</v>
      </c>
      <c r="M23" s="8" t="s">
        <v>19</v>
      </c>
      <c r="N23" s="10" t="s">
        <v>48</v>
      </c>
      <c r="O23" s="17">
        <f xml:space="preserve"> (Tabla1[[#This Row],[Unit_Price]] - Tabla1[[#This Row],[Unit_Cost]] ) * Tabla1[[#This Row],[Quantity_Sold]]</f>
        <v>3094.6000000000004</v>
      </c>
      <c r="P23" s="12">
        <f>Tabla1[[#This Row],[Profit]] / Tabla1[[#This Row],[Sales_Calculated]]</f>
        <v>6.0984309536853486E-2</v>
      </c>
      <c r="Q23" s="20">
        <f xml:space="preserve"> Tabla1[[#This Row],[Unit_Price]] * Tabla1[[#This Row],[Quantity_Sold]]</f>
        <v>50744.2</v>
      </c>
    </row>
    <row r="24" spans="1:17" x14ac:dyDescent="0.3">
      <c r="A24" s="2">
        <v>1060</v>
      </c>
      <c r="B24" s="1">
        <v>45276</v>
      </c>
      <c r="C24" s="8" t="s">
        <v>38</v>
      </c>
      <c r="D24" s="8" t="s">
        <v>34</v>
      </c>
      <c r="E24" s="6">
        <v>3224.71</v>
      </c>
      <c r="F24" s="2">
        <v>44</v>
      </c>
      <c r="G24" s="8" t="s">
        <v>29</v>
      </c>
      <c r="H24" s="6">
        <v>3784.96</v>
      </c>
      <c r="I24" s="6">
        <v>4276.99</v>
      </c>
      <c r="J24" s="8" t="s">
        <v>30</v>
      </c>
      <c r="K24" s="12">
        <v>0.06</v>
      </c>
      <c r="L24" s="8" t="s">
        <v>27</v>
      </c>
      <c r="M24" s="8" t="s">
        <v>22</v>
      </c>
      <c r="N24" s="10" t="s">
        <v>48</v>
      </c>
      <c r="O24" s="17">
        <f xml:space="preserve"> (Tabla1[[#This Row],[Unit_Price]] - Tabla1[[#This Row],[Unit_Cost]] ) * Tabla1[[#This Row],[Quantity_Sold]]</f>
        <v>21649.319999999989</v>
      </c>
      <c r="P24" s="12">
        <f>Tabla1[[#This Row],[Profit]] / Tabla1[[#This Row],[Sales_Calculated]]</f>
        <v>0.1150411855066296</v>
      </c>
      <c r="Q24" s="20">
        <f xml:space="preserve"> Tabla1[[#This Row],[Unit_Price]] * Tabla1[[#This Row],[Quantity_Sold]]</f>
        <v>188187.56</v>
      </c>
    </row>
    <row r="25" spans="1:17" x14ac:dyDescent="0.3">
      <c r="A25" s="2">
        <v>1021</v>
      </c>
      <c r="B25" s="1">
        <v>45257</v>
      </c>
      <c r="C25" s="8" t="s">
        <v>42</v>
      </c>
      <c r="D25" s="8" t="s">
        <v>25</v>
      </c>
      <c r="E25" s="6">
        <v>6483.84</v>
      </c>
      <c r="F25" s="2">
        <v>31</v>
      </c>
      <c r="G25" s="8" t="s">
        <v>16</v>
      </c>
      <c r="H25" s="6">
        <v>2254.9899999999998</v>
      </c>
      <c r="I25" s="6">
        <v>2441.79</v>
      </c>
      <c r="J25" s="8" t="s">
        <v>17</v>
      </c>
      <c r="K25" s="12">
        <v>0.24</v>
      </c>
      <c r="L25" s="8" t="s">
        <v>27</v>
      </c>
      <c r="M25" s="8" t="s">
        <v>19</v>
      </c>
      <c r="N25" s="10" t="s">
        <v>43</v>
      </c>
      <c r="O25" s="17">
        <f xml:space="preserve"> (Tabla1[[#This Row],[Unit_Price]] - Tabla1[[#This Row],[Unit_Cost]] ) * Tabla1[[#This Row],[Quantity_Sold]]</f>
        <v>5790.8000000000056</v>
      </c>
      <c r="P25" s="12">
        <f>Tabla1[[#This Row],[Profit]] / Tabla1[[#This Row],[Sales_Calculated]]</f>
        <v>7.6501255226698511E-2</v>
      </c>
      <c r="Q25" s="20">
        <f xml:space="preserve"> Tabla1[[#This Row],[Unit_Price]] * Tabla1[[#This Row],[Quantity_Sold]]</f>
        <v>75695.490000000005</v>
      </c>
    </row>
    <row r="26" spans="1:17" x14ac:dyDescent="0.3">
      <c r="A26" s="2">
        <v>1033</v>
      </c>
      <c r="B26" s="1">
        <v>45244</v>
      </c>
      <c r="C26" s="8" t="s">
        <v>24</v>
      </c>
      <c r="D26" s="8" t="s">
        <v>25</v>
      </c>
      <c r="E26" s="6">
        <v>4011.8</v>
      </c>
      <c r="F26" s="2">
        <v>23</v>
      </c>
      <c r="G26" s="8" t="s">
        <v>16</v>
      </c>
      <c r="H26" s="6">
        <v>2981.5</v>
      </c>
      <c r="I26" s="6">
        <v>3360.4</v>
      </c>
      <c r="J26" s="8" t="s">
        <v>17</v>
      </c>
      <c r="K26" s="12">
        <v>0.22</v>
      </c>
      <c r="L26" s="8" t="s">
        <v>27</v>
      </c>
      <c r="M26" s="8" t="s">
        <v>22</v>
      </c>
      <c r="N26" s="10" t="s">
        <v>28</v>
      </c>
      <c r="O26" s="17">
        <f xml:space="preserve"> (Tabla1[[#This Row],[Unit_Price]] - Tabla1[[#This Row],[Unit_Cost]] ) * Tabla1[[#This Row],[Quantity_Sold]]</f>
        <v>8714.7000000000025</v>
      </c>
      <c r="P26" s="12">
        <f>Tabla1[[#This Row],[Profit]] / Tabla1[[#This Row],[Sales_Calculated]]</f>
        <v>0.1127544339959529</v>
      </c>
      <c r="Q26" s="20">
        <f xml:space="preserve"> Tabla1[[#This Row],[Unit_Price]] * Tabla1[[#This Row],[Quantity_Sold]]</f>
        <v>77289.2</v>
      </c>
    </row>
    <row r="27" spans="1:17" x14ac:dyDescent="0.3">
      <c r="A27" s="2">
        <v>1076</v>
      </c>
      <c r="B27" s="1">
        <v>45276</v>
      </c>
      <c r="C27" s="8" t="s">
        <v>38</v>
      </c>
      <c r="D27" s="8" t="s">
        <v>34</v>
      </c>
      <c r="E27" s="6">
        <v>7160.75</v>
      </c>
      <c r="F27" s="2">
        <v>30</v>
      </c>
      <c r="G27" s="8" t="s">
        <v>29</v>
      </c>
      <c r="H27" s="6">
        <v>3519.63</v>
      </c>
      <c r="I27" s="6">
        <v>3774.65</v>
      </c>
      <c r="J27" s="8" t="s">
        <v>30</v>
      </c>
      <c r="K27" s="12">
        <v>0.2</v>
      </c>
      <c r="L27" s="8" t="s">
        <v>31</v>
      </c>
      <c r="M27" s="8" t="s">
        <v>22</v>
      </c>
      <c r="N27" s="10" t="s">
        <v>48</v>
      </c>
      <c r="O27" s="17">
        <f xml:space="preserve"> (Tabla1[[#This Row],[Unit_Price]] - Tabla1[[#This Row],[Unit_Cost]] ) * Tabla1[[#This Row],[Quantity_Sold]]</f>
        <v>7650.5999999999995</v>
      </c>
      <c r="P27" s="12">
        <f>Tabla1[[#This Row],[Profit]] / Tabla1[[#This Row],[Sales_Calculated]]</f>
        <v>6.7561230842594674E-2</v>
      </c>
      <c r="Q27" s="20">
        <f xml:space="preserve"> Tabla1[[#This Row],[Unit_Price]] * Tabla1[[#This Row],[Quantity_Sold]]</f>
        <v>113239.5</v>
      </c>
    </row>
    <row r="28" spans="1:17" x14ac:dyDescent="0.3">
      <c r="A28" s="2">
        <v>1058</v>
      </c>
      <c r="B28" s="1">
        <v>45021</v>
      </c>
      <c r="C28" s="8" t="s">
        <v>42</v>
      </c>
      <c r="D28" s="8" t="s">
        <v>15</v>
      </c>
      <c r="E28" s="6">
        <v>2072.23</v>
      </c>
      <c r="F28" s="2">
        <v>33</v>
      </c>
      <c r="G28" s="8" t="s">
        <v>16</v>
      </c>
      <c r="H28" s="6">
        <v>1011.65</v>
      </c>
      <c r="I28" s="6">
        <v>1084.28</v>
      </c>
      <c r="J28" s="8" t="s">
        <v>17</v>
      </c>
      <c r="K28" s="12">
        <v>7.0000000000000007E-2</v>
      </c>
      <c r="L28" s="8" t="s">
        <v>27</v>
      </c>
      <c r="M28" s="8" t="s">
        <v>22</v>
      </c>
      <c r="N28" s="10" t="s">
        <v>49</v>
      </c>
      <c r="O28" s="17">
        <f xml:space="preserve"> (Tabla1[[#This Row],[Unit_Price]] - Tabla1[[#This Row],[Unit_Cost]] ) * Tabla1[[#This Row],[Quantity_Sold]]</f>
        <v>2396.79</v>
      </c>
      <c r="P28" s="12">
        <f>Tabla1[[#This Row],[Profit]] / Tabla1[[#This Row],[Sales_Calculated]]</f>
        <v>6.6984542738038153E-2</v>
      </c>
      <c r="Q28" s="20">
        <f xml:space="preserve"> Tabla1[[#This Row],[Unit_Price]] * Tabla1[[#This Row],[Quantity_Sold]]</f>
        <v>35781.24</v>
      </c>
    </row>
    <row r="29" spans="1:17" x14ac:dyDescent="0.3">
      <c r="A29" s="2">
        <v>1022</v>
      </c>
      <c r="B29" s="1">
        <v>45078</v>
      </c>
      <c r="C29" s="8" t="s">
        <v>24</v>
      </c>
      <c r="D29" s="8" t="s">
        <v>34</v>
      </c>
      <c r="E29" s="6">
        <v>8913.1299999999992</v>
      </c>
      <c r="F29" s="2">
        <v>9</v>
      </c>
      <c r="G29" s="8" t="s">
        <v>35</v>
      </c>
      <c r="H29" s="6">
        <v>2263.65</v>
      </c>
      <c r="I29" s="6">
        <v>2558.9499999999998</v>
      </c>
      <c r="J29" s="8" t="s">
        <v>30</v>
      </c>
      <c r="K29" s="12">
        <v>0.03</v>
      </c>
      <c r="L29" s="8" t="s">
        <v>18</v>
      </c>
      <c r="M29" s="8" t="s">
        <v>19</v>
      </c>
      <c r="N29" s="10" t="s">
        <v>50</v>
      </c>
      <c r="O29" s="17">
        <f xml:space="preserve"> (Tabla1[[#This Row],[Unit_Price]] - Tabla1[[#This Row],[Unit_Cost]] ) * Tabla1[[#This Row],[Quantity_Sold]]</f>
        <v>2657.6999999999975</v>
      </c>
      <c r="P29" s="12">
        <f>Tabla1[[#This Row],[Profit]] / Tabla1[[#This Row],[Sales_Calculated]]</f>
        <v>0.11539889407764893</v>
      </c>
      <c r="Q29" s="20">
        <f xml:space="preserve"> Tabla1[[#This Row],[Unit_Price]] * Tabla1[[#This Row],[Quantity_Sold]]</f>
        <v>23030.55</v>
      </c>
    </row>
    <row r="30" spans="1:17" x14ac:dyDescent="0.3">
      <c r="A30" s="2">
        <v>1089</v>
      </c>
      <c r="B30" s="1">
        <v>45237</v>
      </c>
      <c r="C30" s="8" t="s">
        <v>14</v>
      </c>
      <c r="D30" s="8" t="s">
        <v>21</v>
      </c>
      <c r="E30" s="6">
        <v>2945.36</v>
      </c>
      <c r="F30" s="2">
        <v>47</v>
      </c>
      <c r="G30" s="8" t="s">
        <v>16</v>
      </c>
      <c r="H30" s="6">
        <v>4157.62</v>
      </c>
      <c r="I30" s="6">
        <v>4314.5599999999904</v>
      </c>
      <c r="J30" s="8" t="s">
        <v>30</v>
      </c>
      <c r="K30" s="12">
        <v>0.17</v>
      </c>
      <c r="L30" s="8" t="s">
        <v>27</v>
      </c>
      <c r="M30" s="8" t="s">
        <v>22</v>
      </c>
      <c r="N30" s="10" t="s">
        <v>23</v>
      </c>
      <c r="O30" s="17">
        <f xml:space="preserve"> (Tabla1[[#This Row],[Unit_Price]] - Tabla1[[#This Row],[Unit_Cost]] ) * Tabla1[[#This Row],[Quantity_Sold]]</f>
        <v>7376.1799999995537</v>
      </c>
      <c r="P30" s="12">
        <f>Tabla1[[#This Row],[Profit]] / Tabla1[[#This Row],[Sales_Calculated]]</f>
        <v>3.6374508640508153E-2</v>
      </c>
      <c r="Q30" s="20">
        <f xml:space="preserve"> Tabla1[[#This Row],[Unit_Price]] * Tabla1[[#This Row],[Quantity_Sold]]</f>
        <v>202784.31999999954</v>
      </c>
    </row>
    <row r="31" spans="1:17" x14ac:dyDescent="0.3">
      <c r="A31" s="2">
        <v>1049</v>
      </c>
      <c r="B31" s="1">
        <v>45063</v>
      </c>
      <c r="C31" s="8" t="s">
        <v>42</v>
      </c>
      <c r="D31" s="8" t="s">
        <v>21</v>
      </c>
      <c r="E31" s="6">
        <v>3741.08</v>
      </c>
      <c r="F31" s="2">
        <v>1</v>
      </c>
      <c r="G31" s="8" t="s">
        <v>16</v>
      </c>
      <c r="H31" s="6">
        <v>3290.89</v>
      </c>
      <c r="I31" s="6">
        <v>3317.75</v>
      </c>
      <c r="J31" s="8" t="s">
        <v>17</v>
      </c>
      <c r="K31" s="12">
        <v>0.17</v>
      </c>
      <c r="L31" s="8" t="s">
        <v>27</v>
      </c>
      <c r="M31" s="8" t="s">
        <v>19</v>
      </c>
      <c r="N31" s="10" t="s">
        <v>51</v>
      </c>
      <c r="O31" s="17">
        <f xml:space="preserve"> (Tabla1[[#This Row],[Unit_Price]] - Tabla1[[#This Row],[Unit_Cost]] ) * Tabla1[[#This Row],[Quantity_Sold]]</f>
        <v>26.860000000000127</v>
      </c>
      <c r="P31" s="12">
        <f>Tabla1[[#This Row],[Profit]] / Tabla1[[#This Row],[Sales_Calculated]]</f>
        <v>8.0958480898199459E-3</v>
      </c>
      <c r="Q31" s="20">
        <f xml:space="preserve"> Tabla1[[#This Row],[Unit_Price]] * Tabla1[[#This Row],[Quantity_Sold]]</f>
        <v>3317.75</v>
      </c>
    </row>
    <row r="32" spans="1:17" x14ac:dyDescent="0.3">
      <c r="A32" s="2">
        <v>1091</v>
      </c>
      <c r="B32" s="1">
        <v>45173</v>
      </c>
      <c r="C32" s="8" t="s">
        <v>33</v>
      </c>
      <c r="D32" s="8" t="s">
        <v>25</v>
      </c>
      <c r="E32" s="6">
        <v>675.11</v>
      </c>
      <c r="F32" s="2">
        <v>44</v>
      </c>
      <c r="G32" s="8" t="s">
        <v>26</v>
      </c>
      <c r="H32" s="6">
        <v>2085.46</v>
      </c>
      <c r="I32" s="6">
        <v>2406.58</v>
      </c>
      <c r="J32" s="8" t="s">
        <v>17</v>
      </c>
      <c r="K32" s="12">
        <v>0.06</v>
      </c>
      <c r="L32" s="8" t="s">
        <v>27</v>
      </c>
      <c r="M32" s="8" t="s">
        <v>22</v>
      </c>
      <c r="N32" s="10" t="s">
        <v>44</v>
      </c>
      <c r="O32" s="17">
        <f xml:space="preserve"> (Tabla1[[#This Row],[Unit_Price]] - Tabla1[[#This Row],[Unit_Cost]] ) * Tabla1[[#This Row],[Quantity_Sold]]</f>
        <v>14129.279999999995</v>
      </c>
      <c r="P32" s="12">
        <f>Tabla1[[#This Row],[Profit]] / Tabla1[[#This Row],[Sales_Calculated]]</f>
        <v>0.13343416798942895</v>
      </c>
      <c r="Q32" s="20">
        <f xml:space="preserve"> Tabla1[[#This Row],[Unit_Price]] * Tabla1[[#This Row],[Quantity_Sold]]</f>
        <v>105889.51999999999</v>
      </c>
    </row>
    <row r="33" spans="1:17" x14ac:dyDescent="0.3">
      <c r="A33" s="2">
        <v>1059</v>
      </c>
      <c r="B33" s="1">
        <v>45169</v>
      </c>
      <c r="C33" s="8" t="s">
        <v>42</v>
      </c>
      <c r="D33" s="8" t="s">
        <v>15</v>
      </c>
      <c r="E33" s="6">
        <v>1203.97</v>
      </c>
      <c r="F33" s="2">
        <v>35</v>
      </c>
      <c r="G33" s="8" t="s">
        <v>26</v>
      </c>
      <c r="H33" s="6">
        <v>3333.64</v>
      </c>
      <c r="I33" s="6">
        <v>3764.52</v>
      </c>
      <c r="J33" s="8" t="s">
        <v>17</v>
      </c>
      <c r="K33" s="12">
        <v>0.02</v>
      </c>
      <c r="L33" s="8" t="s">
        <v>31</v>
      </c>
      <c r="M33" s="8" t="s">
        <v>19</v>
      </c>
      <c r="N33" s="10" t="s">
        <v>49</v>
      </c>
      <c r="O33" s="17">
        <f xml:space="preserve"> (Tabla1[[#This Row],[Unit_Price]] - Tabla1[[#This Row],[Unit_Cost]] ) * Tabla1[[#This Row],[Quantity_Sold]]</f>
        <v>15080.800000000003</v>
      </c>
      <c r="P33" s="12">
        <f>Tabla1[[#This Row],[Profit]] / Tabla1[[#This Row],[Sales_Calculated]]</f>
        <v>0.11445815137122396</v>
      </c>
      <c r="Q33" s="20">
        <f xml:space="preserve"> Tabla1[[#This Row],[Unit_Price]] * Tabla1[[#This Row],[Quantity_Sold]]</f>
        <v>131758.20000000001</v>
      </c>
    </row>
    <row r="34" spans="1:17" x14ac:dyDescent="0.3">
      <c r="A34" s="2">
        <v>1042</v>
      </c>
      <c r="B34" s="1">
        <v>44957</v>
      </c>
      <c r="C34" s="8" t="s">
        <v>42</v>
      </c>
      <c r="D34" s="8" t="s">
        <v>15</v>
      </c>
      <c r="E34" s="6">
        <v>5207.03</v>
      </c>
      <c r="F34" s="2">
        <v>11</v>
      </c>
      <c r="G34" s="8" t="s">
        <v>26</v>
      </c>
      <c r="H34" s="6">
        <v>635.20000000000005</v>
      </c>
      <c r="I34" s="6">
        <v>814.14</v>
      </c>
      <c r="J34" s="8" t="s">
        <v>17</v>
      </c>
      <c r="K34" s="12">
        <v>0.02</v>
      </c>
      <c r="L34" s="8" t="s">
        <v>18</v>
      </c>
      <c r="M34" s="8" t="s">
        <v>19</v>
      </c>
      <c r="N34" s="10" t="s">
        <v>49</v>
      </c>
      <c r="O34" s="17">
        <f xml:space="preserve"> (Tabla1[[#This Row],[Unit_Price]] - Tabla1[[#This Row],[Unit_Cost]] ) * Tabla1[[#This Row],[Quantity_Sold]]</f>
        <v>1968.3399999999992</v>
      </c>
      <c r="P34" s="12">
        <f>Tabla1[[#This Row],[Profit]] / Tabla1[[#This Row],[Sales_Calculated]]</f>
        <v>0.21979020807232166</v>
      </c>
      <c r="Q34" s="20">
        <f xml:space="preserve"> Tabla1[[#This Row],[Unit_Price]] * Tabla1[[#This Row],[Quantity_Sold]]</f>
        <v>8955.5399999999991</v>
      </c>
    </row>
    <row r="35" spans="1:17" x14ac:dyDescent="0.3">
      <c r="A35" s="2">
        <v>1092</v>
      </c>
      <c r="B35" s="1">
        <v>44966</v>
      </c>
      <c r="C35" s="8" t="s">
        <v>24</v>
      </c>
      <c r="D35" s="8" t="s">
        <v>21</v>
      </c>
      <c r="E35" s="6">
        <v>2749.17</v>
      </c>
      <c r="F35" s="2">
        <v>34</v>
      </c>
      <c r="G35" s="8" t="s">
        <v>16</v>
      </c>
      <c r="H35" s="6">
        <v>2037.41</v>
      </c>
      <c r="I35" s="6">
        <v>2238.65</v>
      </c>
      <c r="J35" s="8" t="s">
        <v>30</v>
      </c>
      <c r="K35" s="12">
        <v>0.3</v>
      </c>
      <c r="L35" s="8" t="s">
        <v>31</v>
      </c>
      <c r="M35" s="8" t="s">
        <v>19</v>
      </c>
      <c r="N35" s="10" t="s">
        <v>47</v>
      </c>
      <c r="O35" s="17">
        <f xml:space="preserve"> (Tabla1[[#This Row],[Unit_Price]] - Tabla1[[#This Row],[Unit_Cost]] ) * Tabla1[[#This Row],[Quantity_Sold]]</f>
        <v>6842.16</v>
      </c>
      <c r="P35" s="12">
        <f>Tabla1[[#This Row],[Profit]] / Tabla1[[#This Row],[Sales_Calculated]]</f>
        <v>8.9893462577892921E-2</v>
      </c>
      <c r="Q35" s="20">
        <f xml:space="preserve"> Tabla1[[#This Row],[Unit_Price]] * Tabla1[[#This Row],[Quantity_Sold]]</f>
        <v>76114.100000000006</v>
      </c>
    </row>
    <row r="36" spans="1:17" x14ac:dyDescent="0.3">
      <c r="A36" s="2">
        <v>1060</v>
      </c>
      <c r="B36" s="1">
        <v>45155</v>
      </c>
      <c r="C36" s="8" t="s">
        <v>14</v>
      </c>
      <c r="D36" s="8" t="s">
        <v>34</v>
      </c>
      <c r="E36" s="6">
        <v>8371.25</v>
      </c>
      <c r="F36" s="2">
        <v>16</v>
      </c>
      <c r="G36" s="8" t="s">
        <v>29</v>
      </c>
      <c r="H36" s="6">
        <v>3975.99</v>
      </c>
      <c r="I36" s="6">
        <v>4422.59</v>
      </c>
      <c r="J36" s="8" t="s">
        <v>30</v>
      </c>
      <c r="K36" s="12">
        <v>0.24</v>
      </c>
      <c r="L36" s="8" t="s">
        <v>18</v>
      </c>
      <c r="M36" s="8" t="s">
        <v>19</v>
      </c>
      <c r="N36" s="10" t="s">
        <v>46</v>
      </c>
      <c r="O36" s="17">
        <f xml:space="preserve"> (Tabla1[[#This Row],[Unit_Price]] - Tabla1[[#This Row],[Unit_Cost]] ) * Tabla1[[#This Row],[Quantity_Sold]]</f>
        <v>7145.6000000000058</v>
      </c>
      <c r="P36" s="12">
        <f>Tabla1[[#This Row],[Profit]] / Tabla1[[#This Row],[Sales_Calculated]]</f>
        <v>0.10098155153428202</v>
      </c>
      <c r="Q36" s="20">
        <f xml:space="preserve"> Tabla1[[#This Row],[Unit_Price]] * Tabla1[[#This Row],[Quantity_Sold]]</f>
        <v>70761.440000000002</v>
      </c>
    </row>
    <row r="37" spans="1:17" x14ac:dyDescent="0.3">
      <c r="A37" s="2">
        <v>1080</v>
      </c>
      <c r="B37" s="1">
        <v>44962</v>
      </c>
      <c r="C37" s="8" t="s">
        <v>33</v>
      </c>
      <c r="D37" s="8" t="s">
        <v>25</v>
      </c>
      <c r="E37" s="6">
        <v>245.46</v>
      </c>
      <c r="F37" s="2">
        <v>9</v>
      </c>
      <c r="G37" s="8" t="s">
        <v>35</v>
      </c>
      <c r="H37" s="6">
        <v>1141.52</v>
      </c>
      <c r="I37" s="6">
        <v>1550.19</v>
      </c>
      <c r="J37" s="8" t="s">
        <v>30</v>
      </c>
      <c r="K37" s="12">
        <v>0.28000000000000003</v>
      </c>
      <c r="L37" s="8" t="s">
        <v>31</v>
      </c>
      <c r="M37" s="8" t="s">
        <v>22</v>
      </c>
      <c r="N37" s="10" t="s">
        <v>44</v>
      </c>
      <c r="O37" s="17">
        <f xml:space="preserve"> (Tabla1[[#This Row],[Unit_Price]] - Tabla1[[#This Row],[Unit_Cost]] ) * Tabla1[[#This Row],[Quantity_Sold]]</f>
        <v>3678.0300000000007</v>
      </c>
      <c r="P37" s="12">
        <f>Tabla1[[#This Row],[Profit]] / Tabla1[[#This Row],[Sales_Calculated]]</f>
        <v>0.26362574910172304</v>
      </c>
      <c r="Q37" s="20">
        <f xml:space="preserve"> Tabla1[[#This Row],[Unit_Price]] * Tabla1[[#This Row],[Quantity_Sold]]</f>
        <v>13951.710000000001</v>
      </c>
    </row>
    <row r="38" spans="1:17" x14ac:dyDescent="0.3">
      <c r="A38" s="2">
        <v>1015</v>
      </c>
      <c r="B38" s="1">
        <v>45149</v>
      </c>
      <c r="C38" s="8" t="s">
        <v>38</v>
      </c>
      <c r="D38" s="8" t="s">
        <v>34</v>
      </c>
      <c r="E38" s="6">
        <v>3853.03</v>
      </c>
      <c r="F38" s="2">
        <v>32</v>
      </c>
      <c r="G38" s="8" t="s">
        <v>16</v>
      </c>
      <c r="H38" s="6">
        <v>970.51</v>
      </c>
      <c r="I38" s="6">
        <v>1330.84</v>
      </c>
      <c r="J38" s="8" t="s">
        <v>17</v>
      </c>
      <c r="K38" s="12">
        <v>0.06</v>
      </c>
      <c r="L38" s="8" t="s">
        <v>18</v>
      </c>
      <c r="M38" s="8" t="s">
        <v>22</v>
      </c>
      <c r="N38" s="10" t="s">
        <v>48</v>
      </c>
      <c r="O38" s="17">
        <f xml:space="preserve"> (Tabla1[[#This Row],[Unit_Price]] - Tabla1[[#This Row],[Unit_Cost]] ) * Tabla1[[#This Row],[Quantity_Sold]]</f>
        <v>11530.559999999998</v>
      </c>
      <c r="P38" s="12">
        <f>Tabla1[[#This Row],[Profit]] / Tabla1[[#This Row],[Sales_Calculated]]</f>
        <v>0.27075380962399681</v>
      </c>
      <c r="Q38" s="20">
        <f xml:space="preserve"> Tabla1[[#This Row],[Unit_Price]] * Tabla1[[#This Row],[Quantity_Sold]]</f>
        <v>42586.879999999997</v>
      </c>
    </row>
    <row r="39" spans="1:17" x14ac:dyDescent="0.3">
      <c r="A39" s="2">
        <v>1062</v>
      </c>
      <c r="B39" s="1">
        <v>44932</v>
      </c>
      <c r="C39" s="8" t="s">
        <v>38</v>
      </c>
      <c r="D39" s="8" t="s">
        <v>34</v>
      </c>
      <c r="E39" s="6">
        <v>3439.72</v>
      </c>
      <c r="F39" s="2">
        <v>15</v>
      </c>
      <c r="G39" s="8" t="s">
        <v>29</v>
      </c>
      <c r="H39" s="6">
        <v>4756.55</v>
      </c>
      <c r="I39" s="6">
        <v>4888.46</v>
      </c>
      <c r="J39" s="8" t="s">
        <v>30</v>
      </c>
      <c r="K39" s="12">
        <v>0.28999999999999998</v>
      </c>
      <c r="L39" s="8" t="s">
        <v>31</v>
      </c>
      <c r="M39" s="8" t="s">
        <v>19</v>
      </c>
      <c r="N39" s="10" t="s">
        <v>48</v>
      </c>
      <c r="O39" s="17">
        <f xml:space="preserve"> (Tabla1[[#This Row],[Unit_Price]] - Tabla1[[#This Row],[Unit_Cost]] ) * Tabla1[[#This Row],[Quantity_Sold]]</f>
        <v>1978.6499999999978</v>
      </c>
      <c r="P39" s="12">
        <f>Tabla1[[#This Row],[Profit]] / Tabla1[[#This Row],[Sales_Calculated]]</f>
        <v>2.6983958138145726E-2</v>
      </c>
      <c r="Q39" s="20">
        <f xml:space="preserve"> Tabla1[[#This Row],[Unit_Price]] * Tabla1[[#This Row],[Quantity_Sold]]</f>
        <v>73326.899999999994</v>
      </c>
    </row>
    <row r="40" spans="1:17" x14ac:dyDescent="0.3">
      <c r="A40" s="2">
        <v>1062</v>
      </c>
      <c r="B40" s="1">
        <v>45248</v>
      </c>
      <c r="C40" s="8" t="s">
        <v>42</v>
      </c>
      <c r="D40" s="8" t="s">
        <v>34</v>
      </c>
      <c r="E40" s="6">
        <v>291.33999999999997</v>
      </c>
      <c r="F40" s="2">
        <v>12</v>
      </c>
      <c r="G40" s="8" t="s">
        <v>16</v>
      </c>
      <c r="H40" s="6">
        <v>1088.99</v>
      </c>
      <c r="I40" s="6">
        <v>1545</v>
      </c>
      <c r="J40" s="8" t="s">
        <v>17</v>
      </c>
      <c r="K40" s="12">
        <v>0.04</v>
      </c>
      <c r="L40" s="8" t="s">
        <v>27</v>
      </c>
      <c r="M40" s="8" t="s">
        <v>22</v>
      </c>
      <c r="N40" s="10" t="s">
        <v>52</v>
      </c>
      <c r="O40" s="17">
        <f xml:space="preserve"> (Tabla1[[#This Row],[Unit_Price]] - Tabla1[[#This Row],[Unit_Cost]] ) * Tabla1[[#This Row],[Quantity_Sold]]</f>
        <v>5472.12</v>
      </c>
      <c r="P40" s="12">
        <f>Tabla1[[#This Row],[Profit]] / Tabla1[[#This Row],[Sales_Calculated]]</f>
        <v>0.29515210355987054</v>
      </c>
      <c r="Q40" s="20">
        <f xml:space="preserve"> Tabla1[[#This Row],[Unit_Price]] * Tabla1[[#This Row],[Quantity_Sold]]</f>
        <v>18540</v>
      </c>
    </row>
    <row r="41" spans="1:17" x14ac:dyDescent="0.3">
      <c r="A41" s="2">
        <v>1047</v>
      </c>
      <c r="B41" s="1">
        <v>45146</v>
      </c>
      <c r="C41" s="8" t="s">
        <v>24</v>
      </c>
      <c r="D41" s="8" t="s">
        <v>15</v>
      </c>
      <c r="E41" s="6">
        <v>1331.25</v>
      </c>
      <c r="F41" s="2">
        <v>33</v>
      </c>
      <c r="G41" s="8" t="s">
        <v>35</v>
      </c>
      <c r="H41" s="6">
        <v>1341.55</v>
      </c>
      <c r="I41" s="6">
        <v>1427.21</v>
      </c>
      <c r="J41" s="8" t="s">
        <v>17</v>
      </c>
      <c r="K41" s="12">
        <v>0.15</v>
      </c>
      <c r="L41" s="8" t="s">
        <v>31</v>
      </c>
      <c r="M41" s="8" t="s">
        <v>19</v>
      </c>
      <c r="N41" s="10" t="s">
        <v>45</v>
      </c>
      <c r="O41" s="17">
        <f xml:space="preserve"> (Tabla1[[#This Row],[Unit_Price]] - Tabla1[[#This Row],[Unit_Cost]] ) * Tabla1[[#This Row],[Quantity_Sold]]</f>
        <v>2826.7800000000025</v>
      </c>
      <c r="P41" s="12">
        <f>Tabla1[[#This Row],[Profit]] / Tabla1[[#This Row],[Sales_Calculated]]</f>
        <v>6.0019198295976114E-2</v>
      </c>
      <c r="Q41" s="20">
        <f xml:space="preserve"> Tabla1[[#This Row],[Unit_Price]] * Tabla1[[#This Row],[Quantity_Sold]]</f>
        <v>47097.93</v>
      </c>
    </row>
    <row r="42" spans="1:17" x14ac:dyDescent="0.3">
      <c r="A42" s="2">
        <v>1062</v>
      </c>
      <c r="B42" s="1">
        <v>45001</v>
      </c>
      <c r="C42" s="8" t="s">
        <v>24</v>
      </c>
      <c r="D42" s="8" t="s">
        <v>21</v>
      </c>
      <c r="E42" s="6">
        <v>4195.0600000000004</v>
      </c>
      <c r="F42" s="2">
        <v>45</v>
      </c>
      <c r="G42" s="8" t="s">
        <v>16</v>
      </c>
      <c r="H42" s="6">
        <v>4849.6000000000004</v>
      </c>
      <c r="I42" s="6">
        <v>5166.72</v>
      </c>
      <c r="J42" s="8" t="s">
        <v>17</v>
      </c>
      <c r="K42" s="12">
        <v>0.25</v>
      </c>
      <c r="L42" s="8" t="s">
        <v>31</v>
      </c>
      <c r="M42" s="8" t="s">
        <v>19</v>
      </c>
      <c r="N42" s="10" t="s">
        <v>47</v>
      </c>
      <c r="O42" s="17">
        <f xml:space="preserve"> (Tabla1[[#This Row],[Unit_Price]] - Tabla1[[#This Row],[Unit_Cost]] ) * Tabla1[[#This Row],[Quantity_Sold]]</f>
        <v>14270.399999999994</v>
      </c>
      <c r="P42" s="12">
        <f>Tabla1[[#This Row],[Profit]] / Tabla1[[#This Row],[Sales_Calculated]]</f>
        <v>6.1377430942648303E-2</v>
      </c>
      <c r="Q42" s="20">
        <f xml:space="preserve"> Tabla1[[#This Row],[Unit_Price]] * Tabla1[[#This Row],[Quantity_Sold]]</f>
        <v>232502.40000000002</v>
      </c>
    </row>
    <row r="43" spans="1:17" x14ac:dyDescent="0.3">
      <c r="A43" s="2">
        <v>1051</v>
      </c>
      <c r="B43" s="1">
        <v>44930</v>
      </c>
      <c r="C43" s="8" t="s">
        <v>38</v>
      </c>
      <c r="D43" s="8" t="s">
        <v>15</v>
      </c>
      <c r="E43" s="6">
        <v>4979.3599999999997</v>
      </c>
      <c r="F43" s="2">
        <v>14</v>
      </c>
      <c r="G43" s="8" t="s">
        <v>35</v>
      </c>
      <c r="H43" s="6">
        <v>3686.81</v>
      </c>
      <c r="I43" s="6">
        <v>3710.92</v>
      </c>
      <c r="J43" s="8" t="s">
        <v>30</v>
      </c>
      <c r="K43" s="12">
        <v>0.1</v>
      </c>
      <c r="L43" s="8" t="s">
        <v>27</v>
      </c>
      <c r="M43" s="8" t="s">
        <v>22</v>
      </c>
      <c r="N43" s="10" t="s">
        <v>40</v>
      </c>
      <c r="O43" s="17">
        <f xml:space="preserve"> (Tabla1[[#This Row],[Unit_Price]] - Tabla1[[#This Row],[Unit_Cost]] ) * Tabla1[[#This Row],[Quantity_Sold]]</f>
        <v>337.54000000000178</v>
      </c>
      <c r="P43" s="12">
        <f>Tabla1[[#This Row],[Profit]] / Tabla1[[#This Row],[Sales_Calculated]]</f>
        <v>6.4970411649941592E-3</v>
      </c>
      <c r="Q43" s="20">
        <f xml:space="preserve"> Tabla1[[#This Row],[Unit_Price]] * Tabla1[[#This Row],[Quantity_Sold]]</f>
        <v>51952.880000000005</v>
      </c>
    </row>
    <row r="44" spans="1:17" x14ac:dyDescent="0.3">
      <c r="A44" s="2">
        <v>1055</v>
      </c>
      <c r="B44" s="1">
        <v>45261</v>
      </c>
      <c r="C44" s="8" t="s">
        <v>33</v>
      </c>
      <c r="D44" s="8" t="s">
        <v>21</v>
      </c>
      <c r="E44" s="6">
        <v>4102.47</v>
      </c>
      <c r="F44" s="2">
        <v>8</v>
      </c>
      <c r="G44" s="8" t="s">
        <v>16</v>
      </c>
      <c r="H44" s="6">
        <v>3513</v>
      </c>
      <c r="I44" s="6">
        <v>3838.42</v>
      </c>
      <c r="J44" s="8" t="s">
        <v>17</v>
      </c>
      <c r="K44" s="12">
        <v>0.13</v>
      </c>
      <c r="L44" s="8" t="s">
        <v>27</v>
      </c>
      <c r="M44" s="8" t="s">
        <v>19</v>
      </c>
      <c r="N44" s="10" t="s">
        <v>37</v>
      </c>
      <c r="O44" s="17">
        <f xml:space="preserve"> (Tabla1[[#This Row],[Unit_Price]] - Tabla1[[#This Row],[Unit_Cost]] ) * Tabla1[[#This Row],[Quantity_Sold]]</f>
        <v>2603.3600000000006</v>
      </c>
      <c r="P44" s="12">
        <f>Tabla1[[#This Row],[Profit]] / Tabla1[[#This Row],[Sales_Calculated]]</f>
        <v>8.4779674970430555E-2</v>
      </c>
      <c r="Q44" s="20">
        <f xml:space="preserve"> Tabla1[[#This Row],[Unit_Price]] * Tabla1[[#This Row],[Quantity_Sold]]</f>
        <v>30707.360000000001</v>
      </c>
    </row>
    <row r="45" spans="1:17" x14ac:dyDescent="0.3">
      <c r="A45" s="2">
        <v>1064</v>
      </c>
      <c r="B45" s="1">
        <v>45060</v>
      </c>
      <c r="C45" s="8" t="s">
        <v>14</v>
      </c>
      <c r="D45" s="8" t="s">
        <v>25</v>
      </c>
      <c r="E45" s="6">
        <v>5356.28</v>
      </c>
      <c r="F45" s="2">
        <v>8</v>
      </c>
      <c r="G45" s="8" t="s">
        <v>35</v>
      </c>
      <c r="H45" s="6">
        <v>4271.99</v>
      </c>
      <c r="I45" s="6">
        <v>4417.79</v>
      </c>
      <c r="J45" s="8" t="s">
        <v>17</v>
      </c>
      <c r="K45" s="12">
        <v>0.04</v>
      </c>
      <c r="L45" s="8" t="s">
        <v>18</v>
      </c>
      <c r="M45" s="8" t="s">
        <v>19</v>
      </c>
      <c r="N45" s="10" t="s">
        <v>32</v>
      </c>
      <c r="O45" s="17">
        <f xml:space="preserve"> (Tabla1[[#This Row],[Unit_Price]] - Tabla1[[#This Row],[Unit_Cost]] ) * Tabla1[[#This Row],[Quantity_Sold]]</f>
        <v>1166.4000000000015</v>
      </c>
      <c r="P45" s="12">
        <f>Tabla1[[#This Row],[Profit]] / Tabla1[[#This Row],[Sales_Calculated]]</f>
        <v>3.3002926802767944E-2</v>
      </c>
      <c r="Q45" s="20">
        <f xml:space="preserve"> Tabla1[[#This Row],[Unit_Price]] * Tabla1[[#This Row],[Quantity_Sold]]</f>
        <v>35342.32</v>
      </c>
    </row>
    <row r="46" spans="1:17" x14ac:dyDescent="0.3">
      <c r="A46" s="2">
        <v>1003</v>
      </c>
      <c r="B46" s="1">
        <v>45044</v>
      </c>
      <c r="C46" s="8" t="s">
        <v>33</v>
      </c>
      <c r="D46" s="8" t="s">
        <v>25</v>
      </c>
      <c r="E46" s="6">
        <v>5991.8</v>
      </c>
      <c r="F46" s="2">
        <v>27</v>
      </c>
      <c r="G46" s="8" t="s">
        <v>16</v>
      </c>
      <c r="H46" s="6">
        <v>623.32000000000005</v>
      </c>
      <c r="I46" s="6">
        <v>853.66</v>
      </c>
      <c r="J46" s="8" t="s">
        <v>17</v>
      </c>
      <c r="K46" s="12">
        <v>0.04</v>
      </c>
      <c r="L46" s="8" t="s">
        <v>18</v>
      </c>
      <c r="M46" s="8" t="s">
        <v>19</v>
      </c>
      <c r="N46" s="10" t="s">
        <v>44</v>
      </c>
      <c r="O46" s="17">
        <f xml:space="preserve"> (Tabla1[[#This Row],[Unit_Price]] - Tabla1[[#This Row],[Unit_Cost]] ) * Tabla1[[#This Row],[Quantity_Sold]]</f>
        <v>6219.1799999999976</v>
      </c>
      <c r="P46" s="12">
        <f>Tabla1[[#This Row],[Profit]] / Tabla1[[#This Row],[Sales_Calculated]]</f>
        <v>0.26982639458332347</v>
      </c>
      <c r="Q46" s="20">
        <f xml:space="preserve"> Tabla1[[#This Row],[Unit_Price]] * Tabla1[[#This Row],[Quantity_Sold]]</f>
        <v>23048.82</v>
      </c>
    </row>
    <row r="47" spans="1:17" x14ac:dyDescent="0.3">
      <c r="A47" s="2">
        <v>1051</v>
      </c>
      <c r="B47" s="1">
        <v>45020</v>
      </c>
      <c r="C47" s="8" t="s">
        <v>14</v>
      </c>
      <c r="D47" s="8" t="s">
        <v>34</v>
      </c>
      <c r="E47" s="6">
        <v>198.25</v>
      </c>
      <c r="F47" s="2">
        <v>12</v>
      </c>
      <c r="G47" s="8" t="s">
        <v>35</v>
      </c>
      <c r="H47" s="6">
        <v>3544.48</v>
      </c>
      <c r="I47" s="6">
        <v>3723.66</v>
      </c>
      <c r="J47" s="8" t="s">
        <v>17</v>
      </c>
      <c r="K47" s="12">
        <v>0.19</v>
      </c>
      <c r="L47" s="8" t="s">
        <v>18</v>
      </c>
      <c r="M47" s="8" t="s">
        <v>19</v>
      </c>
      <c r="N47" s="10" t="s">
        <v>46</v>
      </c>
      <c r="O47" s="17">
        <f xml:space="preserve"> (Tabla1[[#This Row],[Unit_Price]] - Tabla1[[#This Row],[Unit_Cost]] ) * Tabla1[[#This Row],[Quantity_Sold]]</f>
        <v>2150.159999999998</v>
      </c>
      <c r="P47" s="12">
        <f>Tabla1[[#This Row],[Profit]] / Tabla1[[#This Row],[Sales_Calculated]]</f>
        <v>4.8119323461325643E-2</v>
      </c>
      <c r="Q47" s="20">
        <f xml:space="preserve"> Tabla1[[#This Row],[Unit_Price]] * Tabla1[[#This Row],[Quantity_Sold]]</f>
        <v>44683.92</v>
      </c>
    </row>
    <row r="48" spans="1:17" x14ac:dyDescent="0.3">
      <c r="A48" s="2">
        <v>1007</v>
      </c>
      <c r="B48" s="1">
        <v>44988</v>
      </c>
      <c r="C48" s="8" t="s">
        <v>38</v>
      </c>
      <c r="D48" s="8" t="s">
        <v>21</v>
      </c>
      <c r="E48" s="6">
        <v>4694.54</v>
      </c>
      <c r="F48" s="2">
        <v>1</v>
      </c>
      <c r="G48" s="8" t="s">
        <v>26</v>
      </c>
      <c r="H48" s="6">
        <v>2543.2600000000002</v>
      </c>
      <c r="I48" s="6">
        <v>2637.91</v>
      </c>
      <c r="J48" s="8" t="s">
        <v>17</v>
      </c>
      <c r="K48" s="12">
        <v>0.2</v>
      </c>
      <c r="L48" s="8" t="s">
        <v>31</v>
      </c>
      <c r="M48" s="8" t="s">
        <v>19</v>
      </c>
      <c r="N48" s="10" t="s">
        <v>41</v>
      </c>
      <c r="O48" s="17">
        <f xml:space="preserve"> (Tabla1[[#This Row],[Unit_Price]] - Tabla1[[#This Row],[Unit_Cost]] ) * Tabla1[[#This Row],[Quantity_Sold]]</f>
        <v>94.649999999999636</v>
      </c>
      <c r="P48" s="12">
        <f>Tabla1[[#This Row],[Profit]] / Tabla1[[#This Row],[Sales_Calculated]]</f>
        <v>3.5880678264231775E-2</v>
      </c>
      <c r="Q48" s="20">
        <f xml:space="preserve"> Tabla1[[#This Row],[Unit_Price]] * Tabla1[[#This Row],[Quantity_Sold]]</f>
        <v>2637.91</v>
      </c>
    </row>
    <row r="49" spans="1:17" x14ac:dyDescent="0.3">
      <c r="A49" s="2">
        <v>1021</v>
      </c>
      <c r="B49" s="1">
        <v>45120</v>
      </c>
      <c r="C49" s="8" t="s">
        <v>14</v>
      </c>
      <c r="D49" s="8" t="s">
        <v>21</v>
      </c>
      <c r="E49" s="6">
        <v>9638.64</v>
      </c>
      <c r="F49" s="2">
        <v>43</v>
      </c>
      <c r="G49" s="8" t="s">
        <v>16</v>
      </c>
      <c r="H49" s="6">
        <v>4154.3</v>
      </c>
      <c r="I49" s="6">
        <v>4469.07</v>
      </c>
      <c r="J49" s="8" t="s">
        <v>17</v>
      </c>
      <c r="K49" s="12">
        <v>0.23</v>
      </c>
      <c r="L49" s="8" t="s">
        <v>18</v>
      </c>
      <c r="M49" s="8" t="s">
        <v>22</v>
      </c>
      <c r="N49" s="10" t="s">
        <v>23</v>
      </c>
      <c r="O49" s="17">
        <f xml:space="preserve"> (Tabla1[[#This Row],[Unit_Price]] - Tabla1[[#This Row],[Unit_Cost]] ) * Tabla1[[#This Row],[Quantity_Sold]]</f>
        <v>13535.109999999979</v>
      </c>
      <c r="P49" s="12">
        <f>Tabla1[[#This Row],[Profit]] / Tabla1[[#This Row],[Sales_Calculated]]</f>
        <v>7.0432998364312827E-2</v>
      </c>
      <c r="Q49" s="20">
        <f xml:space="preserve"> Tabla1[[#This Row],[Unit_Price]] * Tabla1[[#This Row],[Quantity_Sold]]</f>
        <v>192170.00999999998</v>
      </c>
    </row>
    <row r="50" spans="1:17" x14ac:dyDescent="0.3">
      <c r="A50" s="2">
        <v>1073</v>
      </c>
      <c r="B50" s="1">
        <v>45261</v>
      </c>
      <c r="C50" s="8" t="s">
        <v>24</v>
      </c>
      <c r="D50" s="8" t="s">
        <v>21</v>
      </c>
      <c r="E50" s="6">
        <v>5238.42</v>
      </c>
      <c r="F50" s="2">
        <v>40</v>
      </c>
      <c r="G50" s="8" t="s">
        <v>16</v>
      </c>
      <c r="H50" s="6">
        <v>2565.3000000000002</v>
      </c>
      <c r="I50" s="6">
        <v>3007.47</v>
      </c>
      <c r="J50" s="8" t="s">
        <v>17</v>
      </c>
      <c r="K50" s="12">
        <v>0.17</v>
      </c>
      <c r="L50" s="8" t="s">
        <v>31</v>
      </c>
      <c r="M50" s="8" t="s">
        <v>22</v>
      </c>
      <c r="N50" s="10" t="s">
        <v>47</v>
      </c>
      <c r="O50" s="17">
        <f xml:space="preserve"> (Tabla1[[#This Row],[Unit_Price]] - Tabla1[[#This Row],[Unit_Cost]] ) * Tabla1[[#This Row],[Quantity_Sold]]</f>
        <v>17686.799999999985</v>
      </c>
      <c r="P50" s="12">
        <f>Tabla1[[#This Row],[Profit]] / Tabla1[[#This Row],[Sales_Calculated]]</f>
        <v>0.14702391046294716</v>
      </c>
      <c r="Q50" s="20">
        <f xml:space="preserve"> Tabla1[[#This Row],[Unit_Price]] * Tabla1[[#This Row],[Quantity_Sold]]</f>
        <v>120298.79999999999</v>
      </c>
    </row>
    <row r="51" spans="1:17" x14ac:dyDescent="0.3">
      <c r="A51" s="2">
        <v>1039</v>
      </c>
      <c r="B51" s="1">
        <v>45129</v>
      </c>
      <c r="C51" s="8" t="s">
        <v>42</v>
      </c>
      <c r="D51" s="8" t="s">
        <v>34</v>
      </c>
      <c r="E51" s="6">
        <v>6807.67</v>
      </c>
      <c r="F51" s="2">
        <v>42</v>
      </c>
      <c r="G51" s="8" t="s">
        <v>29</v>
      </c>
      <c r="H51" s="6">
        <v>3120.19</v>
      </c>
      <c r="I51" s="6">
        <v>3600.14</v>
      </c>
      <c r="J51" s="8" t="s">
        <v>17</v>
      </c>
      <c r="K51" s="12">
        <v>0.19</v>
      </c>
      <c r="L51" s="8" t="s">
        <v>31</v>
      </c>
      <c r="M51" s="8" t="s">
        <v>22</v>
      </c>
      <c r="N51" s="10" t="s">
        <v>52</v>
      </c>
      <c r="O51" s="17">
        <f xml:space="preserve"> (Tabla1[[#This Row],[Unit_Price]] - Tabla1[[#This Row],[Unit_Cost]] ) * Tabla1[[#This Row],[Quantity_Sold]]</f>
        <v>20157.899999999994</v>
      </c>
      <c r="P51" s="12">
        <f>Tabla1[[#This Row],[Profit]] / Tabla1[[#This Row],[Sales_Calculated]]</f>
        <v>0.13331426000099991</v>
      </c>
      <c r="Q51" s="20">
        <f xml:space="preserve"> Tabla1[[#This Row],[Unit_Price]] * Tabla1[[#This Row],[Quantity_Sold]]</f>
        <v>151205.88</v>
      </c>
    </row>
    <row r="52" spans="1:17" x14ac:dyDescent="0.3">
      <c r="A52" s="2">
        <v>1018</v>
      </c>
      <c r="B52" s="1">
        <v>44952</v>
      </c>
      <c r="C52" s="8" t="s">
        <v>42</v>
      </c>
      <c r="D52" s="8" t="s">
        <v>34</v>
      </c>
      <c r="E52" s="6">
        <v>3187.45</v>
      </c>
      <c r="F52" s="2">
        <v>11</v>
      </c>
      <c r="G52" s="8" t="s">
        <v>29</v>
      </c>
      <c r="H52" s="6">
        <v>2414.8200000000002</v>
      </c>
      <c r="I52" s="6">
        <v>2519.0700000000002</v>
      </c>
      <c r="J52" s="8" t="s">
        <v>17</v>
      </c>
      <c r="K52" s="12">
        <v>0</v>
      </c>
      <c r="L52" s="8" t="s">
        <v>18</v>
      </c>
      <c r="M52" s="8" t="s">
        <v>19</v>
      </c>
      <c r="N52" s="10" t="s">
        <v>52</v>
      </c>
      <c r="O52" s="17">
        <f xml:space="preserve"> (Tabla1[[#This Row],[Unit_Price]] - Tabla1[[#This Row],[Unit_Cost]] ) * Tabla1[[#This Row],[Quantity_Sold]]</f>
        <v>1146.75</v>
      </c>
      <c r="P52" s="12">
        <f>Tabla1[[#This Row],[Profit]] / Tabla1[[#This Row],[Sales_Calculated]]</f>
        <v>4.1384320403958605E-2</v>
      </c>
      <c r="Q52" s="20">
        <f xml:space="preserve"> Tabla1[[#This Row],[Unit_Price]] * Tabla1[[#This Row],[Quantity_Sold]]</f>
        <v>27709.77</v>
      </c>
    </row>
    <row r="53" spans="1:17" x14ac:dyDescent="0.3">
      <c r="A53" s="2">
        <v>1004</v>
      </c>
      <c r="B53" s="1">
        <v>45099</v>
      </c>
      <c r="C53" s="8" t="s">
        <v>38</v>
      </c>
      <c r="D53" s="8" t="s">
        <v>25</v>
      </c>
      <c r="E53" s="6">
        <v>7762.51</v>
      </c>
      <c r="F53" s="2">
        <v>39</v>
      </c>
      <c r="G53" s="8" t="s">
        <v>35</v>
      </c>
      <c r="H53" s="6">
        <v>2416.89</v>
      </c>
      <c r="I53" s="6">
        <v>2778.3999999999901</v>
      </c>
      <c r="J53" s="8" t="s">
        <v>17</v>
      </c>
      <c r="K53" s="12">
        <v>0.05</v>
      </c>
      <c r="L53" s="8" t="s">
        <v>18</v>
      </c>
      <c r="M53" s="8" t="s">
        <v>19</v>
      </c>
      <c r="N53" s="10" t="s">
        <v>39</v>
      </c>
      <c r="O53" s="17">
        <f xml:space="preserve"> (Tabla1[[#This Row],[Unit_Price]] - Tabla1[[#This Row],[Unit_Cost]] ) * Tabla1[[#This Row],[Quantity_Sold]]</f>
        <v>14098.889999999617</v>
      </c>
      <c r="P53" s="12">
        <f>Tabla1[[#This Row],[Profit]] / Tabla1[[#This Row],[Sales_Calculated]]</f>
        <v>0.1301144543622198</v>
      </c>
      <c r="Q53" s="20">
        <f xml:space="preserve"> Tabla1[[#This Row],[Unit_Price]] * Tabla1[[#This Row],[Quantity_Sold]]</f>
        <v>108357.59999999961</v>
      </c>
    </row>
    <row r="54" spans="1:17" x14ac:dyDescent="0.3">
      <c r="A54" s="2">
        <v>1089</v>
      </c>
      <c r="B54" s="1">
        <v>45226</v>
      </c>
      <c r="C54" s="8" t="s">
        <v>24</v>
      </c>
      <c r="D54" s="8" t="s">
        <v>15</v>
      </c>
      <c r="E54" s="6">
        <v>7751.92</v>
      </c>
      <c r="F54" s="2">
        <v>43</v>
      </c>
      <c r="G54" s="8" t="s">
        <v>16</v>
      </c>
      <c r="H54" s="6">
        <v>3851.45</v>
      </c>
      <c r="I54" s="6">
        <v>4186.9799999999996</v>
      </c>
      <c r="J54" s="8" t="s">
        <v>17</v>
      </c>
      <c r="K54" s="12">
        <v>0.3</v>
      </c>
      <c r="L54" s="8" t="s">
        <v>31</v>
      </c>
      <c r="M54" s="8" t="s">
        <v>19</v>
      </c>
      <c r="N54" s="10" t="s">
        <v>45</v>
      </c>
      <c r="O54" s="17">
        <f xml:space="preserve"> (Tabla1[[#This Row],[Unit_Price]] - Tabla1[[#This Row],[Unit_Cost]] ) * Tabla1[[#This Row],[Quantity_Sold]]</f>
        <v>14427.78999999999</v>
      </c>
      <c r="P54" s="12">
        <f>Tabla1[[#This Row],[Profit]] / Tabla1[[#This Row],[Sales_Calculated]]</f>
        <v>8.0136518445275542E-2</v>
      </c>
      <c r="Q54" s="20">
        <f xml:space="preserve"> Tabla1[[#This Row],[Unit_Price]] * Tabla1[[#This Row],[Quantity_Sold]]</f>
        <v>180040.13999999998</v>
      </c>
    </row>
    <row r="55" spans="1:17" x14ac:dyDescent="0.3">
      <c r="A55" s="2">
        <v>1060</v>
      </c>
      <c r="B55" s="1">
        <v>45059</v>
      </c>
      <c r="C55" s="8" t="s">
        <v>33</v>
      </c>
      <c r="D55" s="8" t="s">
        <v>21</v>
      </c>
      <c r="E55" s="6">
        <v>5260.83</v>
      </c>
      <c r="F55" s="2">
        <v>31</v>
      </c>
      <c r="G55" s="8" t="s">
        <v>35</v>
      </c>
      <c r="H55" s="6">
        <v>3161.4</v>
      </c>
      <c r="I55" s="6">
        <v>3339.66</v>
      </c>
      <c r="J55" s="8" t="s">
        <v>17</v>
      </c>
      <c r="K55" s="12">
        <v>0.02</v>
      </c>
      <c r="L55" s="8" t="s">
        <v>27</v>
      </c>
      <c r="M55" s="8" t="s">
        <v>19</v>
      </c>
      <c r="N55" s="10" t="s">
        <v>37</v>
      </c>
      <c r="O55" s="17">
        <f xml:space="preserve"> (Tabla1[[#This Row],[Unit_Price]] - Tabla1[[#This Row],[Unit_Cost]] ) * Tabla1[[#This Row],[Quantity_Sold]]</f>
        <v>5526.0599999999922</v>
      </c>
      <c r="P55" s="12">
        <f>Tabla1[[#This Row],[Profit]] / Tabla1[[#This Row],[Sales_Calculated]]</f>
        <v>5.3376691040405239E-2</v>
      </c>
      <c r="Q55" s="20">
        <f xml:space="preserve"> Tabla1[[#This Row],[Unit_Price]] * Tabla1[[#This Row],[Quantity_Sold]]</f>
        <v>103529.45999999999</v>
      </c>
    </row>
    <row r="56" spans="1:17" x14ac:dyDescent="0.3">
      <c r="A56" s="2">
        <v>1014</v>
      </c>
      <c r="B56" s="1">
        <v>45252</v>
      </c>
      <c r="C56" s="8" t="s">
        <v>24</v>
      </c>
      <c r="D56" s="8" t="s">
        <v>21</v>
      </c>
      <c r="E56" s="6">
        <v>9762.5400000000009</v>
      </c>
      <c r="F56" s="2">
        <v>17</v>
      </c>
      <c r="G56" s="8" t="s">
        <v>26</v>
      </c>
      <c r="H56" s="6">
        <v>3184.65</v>
      </c>
      <c r="I56" s="6">
        <v>3204.01</v>
      </c>
      <c r="J56" s="8" t="s">
        <v>30</v>
      </c>
      <c r="K56" s="12">
        <v>0.2</v>
      </c>
      <c r="L56" s="8" t="s">
        <v>27</v>
      </c>
      <c r="M56" s="8" t="s">
        <v>19</v>
      </c>
      <c r="N56" s="10" t="s">
        <v>47</v>
      </c>
      <c r="O56" s="17">
        <f xml:space="preserve"> (Tabla1[[#This Row],[Unit_Price]] - Tabla1[[#This Row],[Unit_Cost]] ) * Tabla1[[#This Row],[Quantity_Sold]]</f>
        <v>329.12000000000216</v>
      </c>
      <c r="P56" s="12">
        <f>Tabla1[[#This Row],[Profit]] / Tabla1[[#This Row],[Sales_Calculated]]</f>
        <v>6.0424280823093953E-3</v>
      </c>
      <c r="Q56" s="20">
        <f xml:space="preserve"> Tabla1[[#This Row],[Unit_Price]] * Tabla1[[#This Row],[Quantity_Sold]]</f>
        <v>54468.170000000006</v>
      </c>
    </row>
    <row r="57" spans="1:17" x14ac:dyDescent="0.3">
      <c r="A57" s="2">
        <v>1009</v>
      </c>
      <c r="B57" s="1">
        <v>45044</v>
      </c>
      <c r="C57" s="8" t="s">
        <v>42</v>
      </c>
      <c r="D57" s="8" t="s">
        <v>15</v>
      </c>
      <c r="E57" s="6">
        <v>1342.95</v>
      </c>
      <c r="F57" s="2">
        <v>33</v>
      </c>
      <c r="G57" s="8" t="s">
        <v>29</v>
      </c>
      <c r="H57" s="6">
        <v>2278.9</v>
      </c>
      <c r="I57" s="6">
        <v>2626.9</v>
      </c>
      <c r="J57" s="8" t="s">
        <v>30</v>
      </c>
      <c r="K57" s="12">
        <v>0.05</v>
      </c>
      <c r="L57" s="8" t="s">
        <v>31</v>
      </c>
      <c r="M57" s="8" t="s">
        <v>19</v>
      </c>
      <c r="N57" s="10" t="s">
        <v>49</v>
      </c>
      <c r="O57" s="17">
        <f xml:space="preserve"> (Tabla1[[#This Row],[Unit_Price]] - Tabla1[[#This Row],[Unit_Cost]] ) * Tabla1[[#This Row],[Quantity_Sold]]</f>
        <v>11484</v>
      </c>
      <c r="P57" s="12">
        <f>Tabla1[[#This Row],[Profit]] / Tabla1[[#This Row],[Sales_Calculated]]</f>
        <v>0.13247554151280977</v>
      </c>
      <c r="Q57" s="20">
        <f xml:space="preserve"> Tabla1[[#This Row],[Unit_Price]] * Tabla1[[#This Row],[Quantity_Sold]]</f>
        <v>86687.7</v>
      </c>
    </row>
    <row r="58" spans="1:17" x14ac:dyDescent="0.3">
      <c r="A58" s="2">
        <v>1090</v>
      </c>
      <c r="B58" s="1">
        <v>45250</v>
      </c>
      <c r="C58" s="8" t="s">
        <v>42</v>
      </c>
      <c r="D58" s="8" t="s">
        <v>21</v>
      </c>
      <c r="E58" s="6">
        <v>267.77999999999997</v>
      </c>
      <c r="F58" s="2">
        <v>32</v>
      </c>
      <c r="G58" s="8" t="s">
        <v>35</v>
      </c>
      <c r="H58" s="6">
        <v>2678.99</v>
      </c>
      <c r="I58" s="6">
        <v>3152.2799999999902</v>
      </c>
      <c r="J58" s="8" t="s">
        <v>17</v>
      </c>
      <c r="K58" s="12">
        <v>0.22</v>
      </c>
      <c r="L58" s="8" t="s">
        <v>18</v>
      </c>
      <c r="M58" s="8" t="s">
        <v>22</v>
      </c>
      <c r="N58" s="10" t="s">
        <v>51</v>
      </c>
      <c r="O58" s="17">
        <f xml:space="preserve"> (Tabla1[[#This Row],[Unit_Price]] - Tabla1[[#This Row],[Unit_Cost]] ) * Tabla1[[#This Row],[Quantity_Sold]]</f>
        <v>15145.279999999693</v>
      </c>
      <c r="P58" s="12">
        <f>Tabla1[[#This Row],[Profit]] / Tabla1[[#This Row],[Sales_Calculated]]</f>
        <v>0.15014211935487706</v>
      </c>
      <c r="Q58" s="20">
        <f xml:space="preserve"> Tabla1[[#This Row],[Unit_Price]] * Tabla1[[#This Row],[Quantity_Sold]]</f>
        <v>100872.95999999969</v>
      </c>
    </row>
    <row r="59" spans="1:17" x14ac:dyDescent="0.3">
      <c r="A59" s="2">
        <v>1053</v>
      </c>
      <c r="B59" s="1">
        <v>45201</v>
      </c>
      <c r="C59" s="8" t="s">
        <v>24</v>
      </c>
      <c r="D59" s="8" t="s">
        <v>34</v>
      </c>
      <c r="E59" s="6">
        <v>7724.57</v>
      </c>
      <c r="F59" s="2">
        <v>29</v>
      </c>
      <c r="G59" s="8" t="s">
        <v>35</v>
      </c>
      <c r="H59" s="6">
        <v>3741.3</v>
      </c>
      <c r="I59" s="6">
        <v>4061.04</v>
      </c>
      <c r="J59" s="8" t="s">
        <v>17</v>
      </c>
      <c r="K59" s="12">
        <v>0.21</v>
      </c>
      <c r="L59" s="8" t="s">
        <v>31</v>
      </c>
      <c r="M59" s="8" t="s">
        <v>19</v>
      </c>
      <c r="N59" s="10" t="s">
        <v>50</v>
      </c>
      <c r="O59" s="17">
        <f xml:space="preserve"> (Tabla1[[#This Row],[Unit_Price]] - Tabla1[[#This Row],[Unit_Cost]] ) * Tabla1[[#This Row],[Quantity_Sold]]</f>
        <v>9272.4599999999937</v>
      </c>
      <c r="P59" s="12">
        <f>Tabla1[[#This Row],[Profit]] / Tabla1[[#This Row],[Sales_Calculated]]</f>
        <v>7.8733526387329292E-2</v>
      </c>
      <c r="Q59" s="20">
        <f xml:space="preserve"> Tabla1[[#This Row],[Unit_Price]] * Tabla1[[#This Row],[Quantity_Sold]]</f>
        <v>117770.16</v>
      </c>
    </row>
    <row r="60" spans="1:17" x14ac:dyDescent="0.3">
      <c r="A60" s="2">
        <v>1002</v>
      </c>
      <c r="B60" s="1">
        <v>45138</v>
      </c>
      <c r="C60" s="8" t="s">
        <v>24</v>
      </c>
      <c r="D60" s="8" t="s">
        <v>34</v>
      </c>
      <c r="E60" s="6">
        <v>8090.84</v>
      </c>
      <c r="F60" s="2">
        <v>21</v>
      </c>
      <c r="G60" s="8" t="s">
        <v>29</v>
      </c>
      <c r="H60" s="6">
        <v>4138.41</v>
      </c>
      <c r="I60" s="6">
        <v>4361.7</v>
      </c>
      <c r="J60" s="8" t="s">
        <v>17</v>
      </c>
      <c r="K60" s="12">
        <v>7.0000000000000007E-2</v>
      </c>
      <c r="L60" s="8" t="s">
        <v>31</v>
      </c>
      <c r="M60" s="8" t="s">
        <v>22</v>
      </c>
      <c r="N60" s="10" t="s">
        <v>50</v>
      </c>
      <c r="O60" s="17">
        <f xml:space="preserve"> (Tabla1[[#This Row],[Unit_Price]] - Tabla1[[#This Row],[Unit_Cost]] ) * Tabla1[[#This Row],[Quantity_Sold]]</f>
        <v>4689.0899999999992</v>
      </c>
      <c r="P60" s="12">
        <f>Tabla1[[#This Row],[Profit]] / Tabla1[[#This Row],[Sales_Calculated]]</f>
        <v>5.1193342045532698E-2</v>
      </c>
      <c r="Q60" s="20">
        <f xml:space="preserve"> Tabla1[[#This Row],[Unit_Price]] * Tabla1[[#This Row],[Quantity_Sold]]</f>
        <v>91595.7</v>
      </c>
    </row>
    <row r="61" spans="1:17" x14ac:dyDescent="0.3">
      <c r="A61" s="2">
        <v>1084</v>
      </c>
      <c r="B61" s="1">
        <v>45151</v>
      </c>
      <c r="C61" s="8" t="s">
        <v>42</v>
      </c>
      <c r="D61" s="8" t="s">
        <v>21</v>
      </c>
      <c r="E61" s="6">
        <v>1290.05</v>
      </c>
      <c r="F61" s="2">
        <v>21</v>
      </c>
      <c r="G61" s="8" t="s">
        <v>16</v>
      </c>
      <c r="H61" s="6">
        <v>3497.98</v>
      </c>
      <c r="I61" s="6">
        <v>3765.31</v>
      </c>
      <c r="J61" s="8" t="s">
        <v>30</v>
      </c>
      <c r="K61" s="12">
        <v>0.08</v>
      </c>
      <c r="L61" s="8" t="s">
        <v>18</v>
      </c>
      <c r="M61" s="8" t="s">
        <v>19</v>
      </c>
      <c r="N61" s="10" t="s">
        <v>51</v>
      </c>
      <c r="O61" s="17">
        <f xml:space="preserve"> (Tabla1[[#This Row],[Unit_Price]] - Tabla1[[#This Row],[Unit_Cost]] ) * Tabla1[[#This Row],[Quantity_Sold]]</f>
        <v>5613.9299999999985</v>
      </c>
      <c r="P61" s="12">
        <f>Tabla1[[#This Row],[Profit]] / Tabla1[[#This Row],[Sales_Calculated]]</f>
        <v>7.0998138267499872E-2</v>
      </c>
      <c r="Q61" s="20">
        <f xml:space="preserve"> Tabla1[[#This Row],[Unit_Price]] * Tabla1[[#This Row],[Quantity_Sold]]</f>
        <v>79071.509999999995</v>
      </c>
    </row>
    <row r="62" spans="1:17" x14ac:dyDescent="0.3">
      <c r="A62" s="2">
        <v>1092</v>
      </c>
      <c r="B62" s="1">
        <v>44946</v>
      </c>
      <c r="C62" s="8" t="s">
        <v>33</v>
      </c>
      <c r="D62" s="8" t="s">
        <v>34</v>
      </c>
      <c r="E62" s="6">
        <v>2729.27</v>
      </c>
      <c r="F62" s="2">
        <v>40</v>
      </c>
      <c r="G62" s="8" t="s">
        <v>35</v>
      </c>
      <c r="H62" s="6">
        <v>4624.16</v>
      </c>
      <c r="I62" s="6">
        <v>4731.9799999999996</v>
      </c>
      <c r="J62" s="8" t="s">
        <v>30</v>
      </c>
      <c r="K62" s="12">
        <v>0.2</v>
      </c>
      <c r="L62" s="8" t="s">
        <v>27</v>
      </c>
      <c r="M62" s="8" t="s">
        <v>22</v>
      </c>
      <c r="N62" s="10" t="s">
        <v>36</v>
      </c>
      <c r="O62" s="17">
        <f xml:space="preserve"> (Tabla1[[#This Row],[Unit_Price]] - Tabla1[[#This Row],[Unit_Cost]] ) * Tabla1[[#This Row],[Quantity_Sold]]</f>
        <v>4312.7999999999884</v>
      </c>
      <c r="P62" s="12">
        <f>Tabla1[[#This Row],[Profit]] / Tabla1[[#This Row],[Sales_Calculated]]</f>
        <v>2.278538793486019E-2</v>
      </c>
      <c r="Q62" s="20">
        <f xml:space="preserve"> Tabla1[[#This Row],[Unit_Price]] * Tabla1[[#This Row],[Quantity_Sold]]</f>
        <v>189279.19999999998</v>
      </c>
    </row>
    <row r="63" spans="1:17" x14ac:dyDescent="0.3">
      <c r="A63" s="2">
        <v>1060</v>
      </c>
      <c r="B63" s="1">
        <v>45039</v>
      </c>
      <c r="C63" s="8" t="s">
        <v>38</v>
      </c>
      <c r="D63" s="8" t="s">
        <v>34</v>
      </c>
      <c r="E63" s="6">
        <v>273.77</v>
      </c>
      <c r="F63" s="2">
        <v>23</v>
      </c>
      <c r="G63" s="8" t="s">
        <v>29</v>
      </c>
      <c r="H63" s="6">
        <v>4110.6000000000004</v>
      </c>
      <c r="I63" s="6">
        <v>4488.37</v>
      </c>
      <c r="J63" s="8" t="s">
        <v>30</v>
      </c>
      <c r="K63" s="12">
        <v>0.12</v>
      </c>
      <c r="L63" s="8" t="s">
        <v>31</v>
      </c>
      <c r="M63" s="8" t="s">
        <v>19</v>
      </c>
      <c r="N63" s="10" t="s">
        <v>48</v>
      </c>
      <c r="O63" s="17">
        <f xml:space="preserve"> (Tabla1[[#This Row],[Unit_Price]] - Tabla1[[#This Row],[Unit_Cost]] ) * Tabla1[[#This Row],[Quantity_Sold]]</f>
        <v>8688.7099999999882</v>
      </c>
      <c r="P63" s="12">
        <f>Tabla1[[#This Row],[Profit]] / Tabla1[[#This Row],[Sales_Calculated]]</f>
        <v>8.4166412305580751E-2</v>
      </c>
      <c r="Q63" s="20">
        <f xml:space="preserve"> Tabla1[[#This Row],[Unit_Price]] * Tabla1[[#This Row],[Quantity_Sold]]</f>
        <v>103232.51</v>
      </c>
    </row>
    <row r="64" spans="1:17" x14ac:dyDescent="0.3">
      <c r="A64" s="2">
        <v>1071</v>
      </c>
      <c r="B64" s="1">
        <v>45066</v>
      </c>
      <c r="C64" s="8" t="s">
        <v>38</v>
      </c>
      <c r="D64" s="8" t="s">
        <v>21</v>
      </c>
      <c r="E64" s="6">
        <v>3003.76</v>
      </c>
      <c r="F64" s="2">
        <v>6</v>
      </c>
      <c r="G64" s="8" t="s">
        <v>16</v>
      </c>
      <c r="H64" s="6">
        <v>2831.23</v>
      </c>
      <c r="I64" s="6">
        <v>3206.98</v>
      </c>
      <c r="J64" s="8" t="s">
        <v>17</v>
      </c>
      <c r="K64" s="12">
        <v>0.06</v>
      </c>
      <c r="L64" s="8" t="s">
        <v>27</v>
      </c>
      <c r="M64" s="8" t="s">
        <v>22</v>
      </c>
      <c r="N64" s="10" t="s">
        <v>41</v>
      </c>
      <c r="O64" s="17">
        <f xml:space="preserve"> (Tabla1[[#This Row],[Unit_Price]] - Tabla1[[#This Row],[Unit_Cost]] ) * Tabla1[[#This Row],[Quantity_Sold]]</f>
        <v>2254.5</v>
      </c>
      <c r="P64" s="12">
        <f>Tabla1[[#This Row],[Profit]] / Tabla1[[#This Row],[Sales_Calculated]]</f>
        <v>0.11716630599504829</v>
      </c>
      <c r="Q64" s="20">
        <f xml:space="preserve"> Tabla1[[#This Row],[Unit_Price]] * Tabla1[[#This Row],[Quantity_Sold]]</f>
        <v>19241.88</v>
      </c>
    </row>
    <row r="65" spans="1:17" x14ac:dyDescent="0.3">
      <c r="A65" s="2">
        <v>1044</v>
      </c>
      <c r="B65" s="1">
        <v>44973</v>
      </c>
      <c r="C65" s="8" t="s">
        <v>24</v>
      </c>
      <c r="D65" s="8" t="s">
        <v>25</v>
      </c>
      <c r="E65" s="6">
        <v>7754.1</v>
      </c>
      <c r="F65" s="2">
        <v>22</v>
      </c>
      <c r="G65" s="8" t="s">
        <v>26</v>
      </c>
      <c r="H65" s="6">
        <v>3373.46</v>
      </c>
      <c r="I65" s="6">
        <v>3454.76</v>
      </c>
      <c r="J65" s="8" t="s">
        <v>17</v>
      </c>
      <c r="K65" s="12">
        <v>0.22</v>
      </c>
      <c r="L65" s="8" t="s">
        <v>27</v>
      </c>
      <c r="M65" s="8" t="s">
        <v>22</v>
      </c>
      <c r="N65" s="10" t="s">
        <v>28</v>
      </c>
      <c r="O65" s="17">
        <f xml:space="preserve"> (Tabla1[[#This Row],[Unit_Price]] - Tabla1[[#This Row],[Unit_Cost]] ) * Tabla1[[#This Row],[Quantity_Sold]]</f>
        <v>1788.600000000004</v>
      </c>
      <c r="P65" s="12">
        <f>Tabla1[[#This Row],[Profit]] / Tabla1[[#This Row],[Sales_Calculated]]</f>
        <v>2.3532749018745205E-2</v>
      </c>
      <c r="Q65" s="20">
        <f xml:space="preserve"> Tabla1[[#This Row],[Unit_Price]] * Tabla1[[#This Row],[Quantity_Sold]]</f>
        <v>76004.72</v>
      </c>
    </row>
    <row r="66" spans="1:17" x14ac:dyDescent="0.3">
      <c r="A66" s="2">
        <v>1008</v>
      </c>
      <c r="B66" s="1">
        <v>44927</v>
      </c>
      <c r="C66" s="8" t="s">
        <v>38</v>
      </c>
      <c r="D66" s="8" t="s">
        <v>15</v>
      </c>
      <c r="E66" s="6">
        <v>5227.8100000000004</v>
      </c>
      <c r="F66" s="2">
        <v>38</v>
      </c>
      <c r="G66" s="8" t="s">
        <v>29</v>
      </c>
      <c r="H66" s="6">
        <v>4635.2299999999996</v>
      </c>
      <c r="I66" s="6">
        <v>5075.4399999999996</v>
      </c>
      <c r="J66" s="8" t="s">
        <v>17</v>
      </c>
      <c r="K66" s="12">
        <v>0.05</v>
      </c>
      <c r="L66" s="8" t="s">
        <v>18</v>
      </c>
      <c r="M66" s="8" t="s">
        <v>19</v>
      </c>
      <c r="N66" s="10" t="s">
        <v>40</v>
      </c>
      <c r="O66" s="17">
        <f xml:space="preserve"> (Tabla1[[#This Row],[Unit_Price]] - Tabla1[[#This Row],[Unit_Cost]] ) * Tabla1[[#This Row],[Quantity_Sold]]</f>
        <v>16727.980000000003</v>
      </c>
      <c r="P66" s="12">
        <f>Tabla1[[#This Row],[Profit]] / Tabla1[[#This Row],[Sales_Calculated]]</f>
        <v>8.673336695931784E-2</v>
      </c>
      <c r="Q66" s="20">
        <f xml:space="preserve"> Tabla1[[#This Row],[Unit_Price]] * Tabla1[[#This Row],[Quantity_Sold]]</f>
        <v>192866.71999999997</v>
      </c>
    </row>
    <row r="67" spans="1:17" x14ac:dyDescent="0.3">
      <c r="A67" s="2">
        <v>1047</v>
      </c>
      <c r="B67" s="1">
        <v>45016</v>
      </c>
      <c r="C67" s="8" t="s">
        <v>42</v>
      </c>
      <c r="D67" s="8" t="s">
        <v>34</v>
      </c>
      <c r="E67" s="6">
        <v>3546.15</v>
      </c>
      <c r="F67" s="2">
        <v>37</v>
      </c>
      <c r="G67" s="8" t="s">
        <v>35</v>
      </c>
      <c r="H67" s="6">
        <v>3114.88</v>
      </c>
      <c r="I67" s="6">
        <v>3256.78</v>
      </c>
      <c r="J67" s="8" t="s">
        <v>17</v>
      </c>
      <c r="K67" s="12">
        <v>0.26</v>
      </c>
      <c r="L67" s="8" t="s">
        <v>31</v>
      </c>
      <c r="M67" s="8" t="s">
        <v>19</v>
      </c>
      <c r="N67" s="10" t="s">
        <v>52</v>
      </c>
      <c r="O67" s="17">
        <f xml:space="preserve"> (Tabla1[[#This Row],[Unit_Price]] - Tabla1[[#This Row],[Unit_Cost]] ) * Tabla1[[#This Row],[Quantity_Sold]]</f>
        <v>5250.3000000000029</v>
      </c>
      <c r="P67" s="12">
        <f>Tabla1[[#This Row],[Profit]] / Tabla1[[#This Row],[Sales_Calculated]]</f>
        <v>4.3570643396238028E-2</v>
      </c>
      <c r="Q67" s="20">
        <f xml:space="preserve"> Tabla1[[#This Row],[Unit_Price]] * Tabla1[[#This Row],[Quantity_Sold]]</f>
        <v>120500.86</v>
      </c>
    </row>
    <row r="68" spans="1:17" x14ac:dyDescent="0.3">
      <c r="A68" s="2">
        <v>1035</v>
      </c>
      <c r="B68" s="1">
        <v>45068</v>
      </c>
      <c r="C68" s="8" t="s">
        <v>42</v>
      </c>
      <c r="D68" s="8" t="s">
        <v>25</v>
      </c>
      <c r="E68" s="6">
        <v>3780.22</v>
      </c>
      <c r="F68" s="2">
        <v>45</v>
      </c>
      <c r="G68" s="8" t="s">
        <v>26</v>
      </c>
      <c r="H68" s="6">
        <v>4132.79</v>
      </c>
      <c r="I68" s="6">
        <v>4624.1000000000004</v>
      </c>
      <c r="J68" s="8" t="s">
        <v>30</v>
      </c>
      <c r="K68" s="12">
        <v>0.15</v>
      </c>
      <c r="L68" s="8" t="s">
        <v>31</v>
      </c>
      <c r="M68" s="8" t="s">
        <v>22</v>
      </c>
      <c r="N68" s="10" t="s">
        <v>43</v>
      </c>
      <c r="O68" s="17">
        <f xml:space="preserve"> (Tabla1[[#This Row],[Unit_Price]] - Tabla1[[#This Row],[Unit_Cost]] ) * Tabla1[[#This Row],[Quantity_Sold]]</f>
        <v>22108.950000000019</v>
      </c>
      <c r="P68" s="12">
        <f>Tabla1[[#This Row],[Profit]] / Tabla1[[#This Row],[Sales_Calculated]]</f>
        <v>0.10624986483856326</v>
      </c>
      <c r="Q68" s="20">
        <f xml:space="preserve"> Tabla1[[#This Row],[Unit_Price]] * Tabla1[[#This Row],[Quantity_Sold]]</f>
        <v>208084.50000000003</v>
      </c>
    </row>
    <row r="69" spans="1:17" x14ac:dyDescent="0.3">
      <c r="A69" s="2">
        <v>1078</v>
      </c>
      <c r="B69" s="1">
        <v>45246</v>
      </c>
      <c r="C69" s="8" t="s">
        <v>24</v>
      </c>
      <c r="D69" s="8" t="s">
        <v>34</v>
      </c>
      <c r="E69" s="6">
        <v>113.4</v>
      </c>
      <c r="F69" s="2">
        <v>8</v>
      </c>
      <c r="G69" s="8" t="s">
        <v>16</v>
      </c>
      <c r="H69" s="6">
        <v>3459.61</v>
      </c>
      <c r="I69" s="6">
        <v>3657.23</v>
      </c>
      <c r="J69" s="8" t="s">
        <v>17</v>
      </c>
      <c r="K69" s="12">
        <v>0.03</v>
      </c>
      <c r="L69" s="8" t="s">
        <v>27</v>
      </c>
      <c r="M69" s="8" t="s">
        <v>19</v>
      </c>
      <c r="N69" s="10" t="s">
        <v>50</v>
      </c>
      <c r="O69" s="17">
        <f xml:space="preserve"> (Tabla1[[#This Row],[Unit_Price]] - Tabla1[[#This Row],[Unit_Cost]] ) * Tabla1[[#This Row],[Quantity_Sold]]</f>
        <v>1580.9599999999991</v>
      </c>
      <c r="P69" s="12">
        <f>Tabla1[[#This Row],[Profit]] / Tabla1[[#This Row],[Sales_Calculated]]</f>
        <v>5.4035431186991216E-2</v>
      </c>
      <c r="Q69" s="20">
        <f xml:space="preserve"> Tabla1[[#This Row],[Unit_Price]] * Tabla1[[#This Row],[Quantity_Sold]]</f>
        <v>29257.84</v>
      </c>
    </row>
    <row r="70" spans="1:17" x14ac:dyDescent="0.3">
      <c r="A70" s="2">
        <v>1081</v>
      </c>
      <c r="B70" s="1">
        <v>44964</v>
      </c>
      <c r="C70" s="8" t="s">
        <v>24</v>
      </c>
      <c r="D70" s="8" t="s">
        <v>34</v>
      </c>
      <c r="E70" s="6">
        <v>3068.03</v>
      </c>
      <c r="F70" s="2">
        <v>41</v>
      </c>
      <c r="G70" s="8" t="s">
        <v>16</v>
      </c>
      <c r="H70" s="6">
        <v>2782.08</v>
      </c>
      <c r="I70" s="6">
        <v>2879.24</v>
      </c>
      <c r="J70" s="8" t="s">
        <v>30</v>
      </c>
      <c r="K70" s="12">
        <v>0.21</v>
      </c>
      <c r="L70" s="8" t="s">
        <v>27</v>
      </c>
      <c r="M70" s="8" t="s">
        <v>19</v>
      </c>
      <c r="N70" s="10" t="s">
        <v>50</v>
      </c>
      <c r="O70" s="17">
        <f xml:space="preserve"> (Tabla1[[#This Row],[Unit_Price]] - Tabla1[[#This Row],[Unit_Cost]] ) * Tabla1[[#This Row],[Quantity_Sold]]</f>
        <v>3983.559999999994</v>
      </c>
      <c r="P70" s="12">
        <f>Tabla1[[#This Row],[Profit]] / Tabla1[[#This Row],[Sales_Calculated]]</f>
        <v>3.3745016045900952E-2</v>
      </c>
      <c r="Q70" s="20">
        <f xml:space="preserve"> Tabla1[[#This Row],[Unit_Price]] * Tabla1[[#This Row],[Quantity_Sold]]</f>
        <v>118048.84</v>
      </c>
    </row>
    <row r="71" spans="1:17" x14ac:dyDescent="0.3">
      <c r="A71" s="2">
        <v>1036</v>
      </c>
      <c r="B71" s="1">
        <v>45219</v>
      </c>
      <c r="C71" s="8" t="s">
        <v>24</v>
      </c>
      <c r="D71" s="8" t="s">
        <v>15</v>
      </c>
      <c r="E71" s="6">
        <v>6499.94</v>
      </c>
      <c r="F71" s="2">
        <v>49</v>
      </c>
      <c r="G71" s="8" t="s">
        <v>29</v>
      </c>
      <c r="H71" s="6">
        <v>1247.0999999999999</v>
      </c>
      <c r="I71" s="6">
        <v>1429.4399999999901</v>
      </c>
      <c r="J71" s="8" t="s">
        <v>30</v>
      </c>
      <c r="K71" s="12">
        <v>0.16</v>
      </c>
      <c r="L71" s="8" t="s">
        <v>18</v>
      </c>
      <c r="M71" s="8" t="s">
        <v>19</v>
      </c>
      <c r="N71" s="10" t="s">
        <v>45</v>
      </c>
      <c r="O71" s="17">
        <f xml:space="preserve"> (Tabla1[[#This Row],[Unit_Price]] - Tabla1[[#This Row],[Unit_Cost]] ) * Tabla1[[#This Row],[Quantity_Sold]]</f>
        <v>8934.659999999516</v>
      </c>
      <c r="P71" s="12">
        <f>Tabla1[[#This Row],[Profit]] / Tabla1[[#This Row],[Sales_Calculated]]</f>
        <v>0.12756044325049767</v>
      </c>
      <c r="Q71" s="20">
        <f xml:space="preserve"> Tabla1[[#This Row],[Unit_Price]] * Tabla1[[#This Row],[Quantity_Sold]]</f>
        <v>70042.559999999517</v>
      </c>
    </row>
    <row r="72" spans="1:17" x14ac:dyDescent="0.3">
      <c r="A72" s="2">
        <v>1050</v>
      </c>
      <c r="B72" s="1">
        <v>45065</v>
      </c>
      <c r="C72" s="8" t="s">
        <v>33</v>
      </c>
      <c r="D72" s="8" t="s">
        <v>34</v>
      </c>
      <c r="E72" s="6">
        <v>9744.52</v>
      </c>
      <c r="F72" s="2">
        <v>35</v>
      </c>
      <c r="G72" s="8" t="s">
        <v>29</v>
      </c>
      <c r="H72" s="6">
        <v>2158.69</v>
      </c>
      <c r="I72" s="6">
        <v>2384.38</v>
      </c>
      <c r="J72" s="8" t="s">
        <v>17</v>
      </c>
      <c r="K72" s="12">
        <v>0.09</v>
      </c>
      <c r="L72" s="8" t="s">
        <v>27</v>
      </c>
      <c r="M72" s="8" t="s">
        <v>22</v>
      </c>
      <c r="N72" s="10" t="s">
        <v>36</v>
      </c>
      <c r="O72" s="17">
        <f xml:space="preserve"> (Tabla1[[#This Row],[Unit_Price]] - Tabla1[[#This Row],[Unit_Cost]] ) * Tabla1[[#This Row],[Quantity_Sold]]</f>
        <v>7899.1500000000015</v>
      </c>
      <c r="P72" s="12">
        <f>Tabla1[[#This Row],[Profit]] / Tabla1[[#This Row],[Sales_Calculated]]</f>
        <v>9.4653536768468133E-2</v>
      </c>
      <c r="Q72" s="20">
        <f xml:space="preserve"> Tabla1[[#This Row],[Unit_Price]] * Tabla1[[#This Row],[Quantity_Sold]]</f>
        <v>83453.3</v>
      </c>
    </row>
    <row r="73" spans="1:17" x14ac:dyDescent="0.3">
      <c r="A73" s="2">
        <v>1004</v>
      </c>
      <c r="B73" s="1">
        <v>45282</v>
      </c>
      <c r="C73" s="8" t="s">
        <v>38</v>
      </c>
      <c r="D73" s="8" t="s">
        <v>15</v>
      </c>
      <c r="E73" s="6">
        <v>8485.9</v>
      </c>
      <c r="F73" s="2">
        <v>11</v>
      </c>
      <c r="G73" s="8" t="s">
        <v>29</v>
      </c>
      <c r="H73" s="6">
        <v>4840.33</v>
      </c>
      <c r="I73" s="6">
        <v>4884.29</v>
      </c>
      <c r="J73" s="8" t="s">
        <v>30</v>
      </c>
      <c r="K73" s="12">
        <v>0.13</v>
      </c>
      <c r="L73" s="8" t="s">
        <v>18</v>
      </c>
      <c r="M73" s="8" t="s">
        <v>19</v>
      </c>
      <c r="N73" s="10" t="s">
        <v>40</v>
      </c>
      <c r="O73" s="17">
        <f xml:space="preserve"> (Tabla1[[#This Row],[Unit_Price]] - Tabla1[[#This Row],[Unit_Cost]] ) * Tabla1[[#This Row],[Quantity_Sold]]</f>
        <v>483.5600000000004</v>
      </c>
      <c r="P73" s="12">
        <f>Tabla1[[#This Row],[Profit]] / Tabla1[[#This Row],[Sales_Calculated]]</f>
        <v>9.0002845858865952E-3</v>
      </c>
      <c r="Q73" s="20">
        <f xml:space="preserve"> Tabla1[[#This Row],[Unit_Price]] * Tabla1[[#This Row],[Quantity_Sold]]</f>
        <v>53727.19</v>
      </c>
    </row>
    <row r="74" spans="1:17" x14ac:dyDescent="0.3">
      <c r="A74" s="2">
        <v>1002</v>
      </c>
      <c r="B74" s="1">
        <v>45259</v>
      </c>
      <c r="C74" s="8" t="s">
        <v>24</v>
      </c>
      <c r="D74" s="8" t="s">
        <v>15</v>
      </c>
      <c r="E74" s="6">
        <v>333.59</v>
      </c>
      <c r="F74" s="2">
        <v>24</v>
      </c>
      <c r="G74" s="8" t="s">
        <v>16</v>
      </c>
      <c r="H74" s="6">
        <v>3305.94</v>
      </c>
      <c r="I74" s="6">
        <v>3599.27</v>
      </c>
      <c r="J74" s="8" t="s">
        <v>30</v>
      </c>
      <c r="K74" s="12">
        <v>0.09</v>
      </c>
      <c r="L74" s="8" t="s">
        <v>31</v>
      </c>
      <c r="M74" s="8" t="s">
        <v>22</v>
      </c>
      <c r="N74" s="10" t="s">
        <v>45</v>
      </c>
      <c r="O74" s="17">
        <f xml:space="preserve"> (Tabla1[[#This Row],[Unit_Price]] - Tabla1[[#This Row],[Unit_Cost]] ) * Tabla1[[#This Row],[Quantity_Sold]]</f>
        <v>7039.9199999999983</v>
      </c>
      <c r="P74" s="12">
        <f>Tabla1[[#This Row],[Profit]] / Tabla1[[#This Row],[Sales_Calculated]]</f>
        <v>8.1497081352607595E-2</v>
      </c>
      <c r="Q74" s="20">
        <f xml:space="preserve"> Tabla1[[#This Row],[Unit_Price]] * Tabla1[[#This Row],[Quantity_Sold]]</f>
        <v>86382.48</v>
      </c>
    </row>
    <row r="75" spans="1:17" x14ac:dyDescent="0.3">
      <c r="A75" s="2">
        <v>1006</v>
      </c>
      <c r="B75" s="1">
        <v>45185</v>
      </c>
      <c r="C75" s="8" t="s">
        <v>14</v>
      </c>
      <c r="D75" s="8" t="s">
        <v>15</v>
      </c>
      <c r="E75" s="6">
        <v>8995.75</v>
      </c>
      <c r="F75" s="2">
        <v>49</v>
      </c>
      <c r="G75" s="8" t="s">
        <v>26</v>
      </c>
      <c r="H75" s="6">
        <v>2843.76</v>
      </c>
      <c r="I75" s="6">
        <v>3146.6</v>
      </c>
      <c r="J75" s="8" t="s">
        <v>30</v>
      </c>
      <c r="K75" s="12">
        <v>0.08</v>
      </c>
      <c r="L75" s="8" t="s">
        <v>18</v>
      </c>
      <c r="M75" s="8" t="s">
        <v>22</v>
      </c>
      <c r="N75" s="10" t="s">
        <v>20</v>
      </c>
      <c r="O75" s="17">
        <f xml:space="preserve"> (Tabla1[[#This Row],[Unit_Price]] - Tabla1[[#This Row],[Unit_Cost]] ) * Tabla1[[#This Row],[Quantity_Sold]]</f>
        <v>14839.159999999985</v>
      </c>
      <c r="P75" s="12">
        <f>Tabla1[[#This Row],[Profit]] / Tabla1[[#This Row],[Sales_Calculated]]</f>
        <v>9.6243564482298261E-2</v>
      </c>
      <c r="Q75" s="20">
        <f xml:space="preserve"> Tabla1[[#This Row],[Unit_Price]] * Tabla1[[#This Row],[Quantity_Sold]]</f>
        <v>154183.4</v>
      </c>
    </row>
    <row r="76" spans="1:17" x14ac:dyDescent="0.3">
      <c r="A76" s="2">
        <v>1054</v>
      </c>
      <c r="B76" s="1">
        <v>45087</v>
      </c>
      <c r="C76" s="8" t="s">
        <v>14</v>
      </c>
      <c r="D76" s="8" t="s">
        <v>25</v>
      </c>
      <c r="E76" s="6">
        <v>7853.66</v>
      </c>
      <c r="F76" s="2">
        <v>21</v>
      </c>
      <c r="G76" s="8" t="s">
        <v>16</v>
      </c>
      <c r="H76" s="6">
        <v>4668.1400000000003</v>
      </c>
      <c r="I76" s="6">
        <v>5040.22</v>
      </c>
      <c r="J76" s="8" t="s">
        <v>30</v>
      </c>
      <c r="K76" s="12">
        <v>0.05</v>
      </c>
      <c r="L76" s="8" t="s">
        <v>27</v>
      </c>
      <c r="M76" s="8" t="s">
        <v>19</v>
      </c>
      <c r="N76" s="10" t="s">
        <v>32</v>
      </c>
      <c r="O76" s="17">
        <f xml:space="preserve"> (Tabla1[[#This Row],[Unit_Price]] - Tabla1[[#This Row],[Unit_Cost]] ) * Tabla1[[#This Row],[Quantity_Sold]]</f>
        <v>7813.6799999999985</v>
      </c>
      <c r="P76" s="12">
        <f>Tabla1[[#This Row],[Profit]] / Tabla1[[#This Row],[Sales_Calculated]]</f>
        <v>7.3822174428893952E-2</v>
      </c>
      <c r="Q76" s="20">
        <f xml:space="preserve"> Tabla1[[#This Row],[Unit_Price]] * Tabla1[[#This Row],[Quantity_Sold]]</f>
        <v>105844.62000000001</v>
      </c>
    </row>
    <row r="77" spans="1:17" x14ac:dyDescent="0.3">
      <c r="A77" s="2">
        <v>1004</v>
      </c>
      <c r="B77" s="1">
        <v>45104</v>
      </c>
      <c r="C77" s="8" t="s">
        <v>42</v>
      </c>
      <c r="D77" s="8" t="s">
        <v>21</v>
      </c>
      <c r="E77" s="6">
        <v>7825.72</v>
      </c>
      <c r="F77" s="2">
        <v>2</v>
      </c>
      <c r="G77" s="8" t="s">
        <v>35</v>
      </c>
      <c r="H77" s="6">
        <v>2953.23</v>
      </c>
      <c r="I77" s="6">
        <v>2977.52</v>
      </c>
      <c r="J77" s="8" t="s">
        <v>17</v>
      </c>
      <c r="K77" s="12">
        <v>0.11</v>
      </c>
      <c r="L77" s="8" t="s">
        <v>31</v>
      </c>
      <c r="M77" s="8" t="s">
        <v>22</v>
      </c>
      <c r="N77" s="10" t="s">
        <v>51</v>
      </c>
      <c r="O77" s="17">
        <f xml:space="preserve"> (Tabla1[[#This Row],[Unit_Price]] - Tabla1[[#This Row],[Unit_Cost]] ) * Tabla1[[#This Row],[Quantity_Sold]]</f>
        <v>48.579999999999927</v>
      </c>
      <c r="P77" s="12">
        <f>Tabla1[[#This Row],[Profit]] / Tabla1[[#This Row],[Sales_Calculated]]</f>
        <v>8.1577957494827786E-3</v>
      </c>
      <c r="Q77" s="20">
        <f xml:space="preserve"> Tabla1[[#This Row],[Unit_Price]] * Tabla1[[#This Row],[Quantity_Sold]]</f>
        <v>5955.04</v>
      </c>
    </row>
    <row r="78" spans="1:17" x14ac:dyDescent="0.3">
      <c r="A78" s="2">
        <v>1054</v>
      </c>
      <c r="B78" s="1">
        <v>44936</v>
      </c>
      <c r="C78" s="8" t="s">
        <v>38</v>
      </c>
      <c r="D78" s="8" t="s">
        <v>25</v>
      </c>
      <c r="E78" s="6">
        <v>4634.16</v>
      </c>
      <c r="F78" s="2">
        <v>40</v>
      </c>
      <c r="G78" s="8" t="s">
        <v>16</v>
      </c>
      <c r="H78" s="6">
        <v>2654.11</v>
      </c>
      <c r="I78" s="6">
        <v>2929.32</v>
      </c>
      <c r="J78" s="8" t="s">
        <v>17</v>
      </c>
      <c r="K78" s="12">
        <v>0.08</v>
      </c>
      <c r="L78" s="8" t="s">
        <v>18</v>
      </c>
      <c r="M78" s="8" t="s">
        <v>19</v>
      </c>
      <c r="N78" s="10" t="s">
        <v>39</v>
      </c>
      <c r="O78" s="17">
        <f xml:space="preserve"> (Tabla1[[#This Row],[Unit_Price]] - Tabla1[[#This Row],[Unit_Cost]] ) * Tabla1[[#This Row],[Quantity_Sold]]</f>
        <v>11008.400000000001</v>
      </c>
      <c r="P78" s="12">
        <f>Tabla1[[#This Row],[Profit]] / Tabla1[[#This Row],[Sales_Calculated]]</f>
        <v>9.3950131771196058E-2</v>
      </c>
      <c r="Q78" s="20">
        <f xml:space="preserve"> Tabla1[[#This Row],[Unit_Price]] * Tabla1[[#This Row],[Quantity_Sold]]</f>
        <v>117172.8</v>
      </c>
    </row>
    <row r="79" spans="1:17" x14ac:dyDescent="0.3">
      <c r="A79" s="2">
        <v>1093</v>
      </c>
      <c r="B79" s="1">
        <v>45187</v>
      </c>
      <c r="C79" s="8" t="s">
        <v>24</v>
      </c>
      <c r="D79" s="8" t="s">
        <v>21</v>
      </c>
      <c r="E79" s="6">
        <v>4040.25</v>
      </c>
      <c r="F79" s="2">
        <v>19</v>
      </c>
      <c r="G79" s="8" t="s">
        <v>35</v>
      </c>
      <c r="H79" s="6">
        <v>3808.59</v>
      </c>
      <c r="I79" s="6">
        <v>3844.51</v>
      </c>
      <c r="J79" s="8" t="s">
        <v>30</v>
      </c>
      <c r="K79" s="12">
        <v>0.21</v>
      </c>
      <c r="L79" s="8" t="s">
        <v>31</v>
      </c>
      <c r="M79" s="8" t="s">
        <v>19</v>
      </c>
      <c r="N79" s="10" t="s">
        <v>47</v>
      </c>
      <c r="O79" s="17">
        <f xml:space="preserve"> (Tabla1[[#This Row],[Unit_Price]] - Tabla1[[#This Row],[Unit_Cost]] ) * Tabla1[[#This Row],[Quantity_Sold]]</f>
        <v>682.48000000000138</v>
      </c>
      <c r="P79" s="12">
        <f>Tabla1[[#This Row],[Profit]] / Tabla1[[#This Row],[Sales_Calculated]]</f>
        <v>9.3431932808082357E-3</v>
      </c>
      <c r="Q79" s="20">
        <f xml:space="preserve"> Tabla1[[#This Row],[Unit_Price]] * Tabla1[[#This Row],[Quantity_Sold]]</f>
        <v>73045.69</v>
      </c>
    </row>
    <row r="80" spans="1:17" x14ac:dyDescent="0.3">
      <c r="A80" s="2">
        <v>1063</v>
      </c>
      <c r="B80" s="1">
        <v>45064</v>
      </c>
      <c r="C80" s="8" t="s">
        <v>14</v>
      </c>
      <c r="D80" s="8" t="s">
        <v>21</v>
      </c>
      <c r="E80" s="6">
        <v>3098.87</v>
      </c>
      <c r="F80" s="2">
        <v>39</v>
      </c>
      <c r="G80" s="8" t="s">
        <v>26</v>
      </c>
      <c r="H80" s="6">
        <v>3577.69</v>
      </c>
      <c r="I80" s="6">
        <v>3931.25</v>
      </c>
      <c r="J80" s="8" t="s">
        <v>17</v>
      </c>
      <c r="K80" s="12">
        <v>0.21</v>
      </c>
      <c r="L80" s="8" t="s">
        <v>18</v>
      </c>
      <c r="M80" s="8" t="s">
        <v>22</v>
      </c>
      <c r="N80" s="10" t="s">
        <v>23</v>
      </c>
      <c r="O80" s="17">
        <f xml:space="preserve"> (Tabla1[[#This Row],[Unit_Price]] - Tabla1[[#This Row],[Unit_Cost]] ) * Tabla1[[#This Row],[Quantity_Sold]]</f>
        <v>13788.839999999998</v>
      </c>
      <c r="P80" s="12">
        <f>Tabla1[[#This Row],[Profit]] / Tabla1[[#This Row],[Sales_Calculated]]</f>
        <v>8.9935771065182815E-2</v>
      </c>
      <c r="Q80" s="20">
        <f xml:space="preserve"> Tabla1[[#This Row],[Unit_Price]] * Tabla1[[#This Row],[Quantity_Sold]]</f>
        <v>153318.75</v>
      </c>
    </row>
    <row r="81" spans="1:17" x14ac:dyDescent="0.3">
      <c r="A81" s="2">
        <v>1018</v>
      </c>
      <c r="B81" s="1">
        <v>45098</v>
      </c>
      <c r="C81" s="8" t="s">
        <v>38</v>
      </c>
      <c r="D81" s="8" t="s">
        <v>15</v>
      </c>
      <c r="E81" s="6">
        <v>750.38</v>
      </c>
      <c r="F81" s="2">
        <v>28</v>
      </c>
      <c r="G81" s="8" t="s">
        <v>29</v>
      </c>
      <c r="H81" s="6">
        <v>1006.14</v>
      </c>
      <c r="I81" s="6">
        <v>1043.45</v>
      </c>
      <c r="J81" s="8" t="s">
        <v>30</v>
      </c>
      <c r="K81" s="12">
        <v>0.15</v>
      </c>
      <c r="L81" s="8" t="s">
        <v>27</v>
      </c>
      <c r="M81" s="8" t="s">
        <v>22</v>
      </c>
      <c r="N81" s="10" t="s">
        <v>40</v>
      </c>
      <c r="O81" s="17">
        <f xml:space="preserve"> (Tabla1[[#This Row],[Unit_Price]] - Tabla1[[#This Row],[Unit_Cost]] ) * Tabla1[[#This Row],[Quantity_Sold]]</f>
        <v>1044.6800000000017</v>
      </c>
      <c r="P81" s="12">
        <f>Tabla1[[#This Row],[Profit]] / Tabla1[[#This Row],[Sales_Calculated]]</f>
        <v>3.5756385068762331E-2</v>
      </c>
      <c r="Q81" s="20">
        <f xml:space="preserve"> Tabla1[[#This Row],[Unit_Price]] * Tabla1[[#This Row],[Quantity_Sold]]</f>
        <v>29216.600000000002</v>
      </c>
    </row>
    <row r="82" spans="1:17" x14ac:dyDescent="0.3">
      <c r="A82" s="2">
        <v>1090</v>
      </c>
      <c r="B82" s="1">
        <v>44939</v>
      </c>
      <c r="C82" s="8" t="s">
        <v>42</v>
      </c>
      <c r="D82" s="8" t="s">
        <v>34</v>
      </c>
      <c r="E82" s="6">
        <v>2359.5300000000002</v>
      </c>
      <c r="F82" s="2">
        <v>17</v>
      </c>
      <c r="G82" s="8" t="s">
        <v>29</v>
      </c>
      <c r="H82" s="6">
        <v>2382.98</v>
      </c>
      <c r="I82" s="6">
        <v>2839.73</v>
      </c>
      <c r="J82" s="8" t="s">
        <v>17</v>
      </c>
      <c r="K82" s="12">
        <v>0.23</v>
      </c>
      <c r="L82" s="8" t="s">
        <v>27</v>
      </c>
      <c r="M82" s="8" t="s">
        <v>22</v>
      </c>
      <c r="N82" s="10" t="s">
        <v>52</v>
      </c>
      <c r="O82" s="17">
        <f xml:space="preserve"> (Tabla1[[#This Row],[Unit_Price]] - Tabla1[[#This Row],[Unit_Cost]] ) * Tabla1[[#This Row],[Quantity_Sold]]</f>
        <v>7764.75</v>
      </c>
      <c r="P82" s="12">
        <f>Tabla1[[#This Row],[Profit]] / Tabla1[[#This Row],[Sales_Calculated]]</f>
        <v>0.16084275617752392</v>
      </c>
      <c r="Q82" s="20">
        <f xml:space="preserve"> Tabla1[[#This Row],[Unit_Price]] * Tabla1[[#This Row],[Quantity_Sold]]</f>
        <v>48275.41</v>
      </c>
    </row>
    <row r="83" spans="1:17" x14ac:dyDescent="0.3">
      <c r="A83" s="2">
        <v>1044</v>
      </c>
      <c r="B83" s="1">
        <v>45094</v>
      </c>
      <c r="C83" s="8" t="s">
        <v>33</v>
      </c>
      <c r="D83" s="8" t="s">
        <v>15</v>
      </c>
      <c r="E83" s="6">
        <v>2541.38</v>
      </c>
      <c r="F83" s="2">
        <v>6</v>
      </c>
      <c r="G83" s="8" t="s">
        <v>16</v>
      </c>
      <c r="H83" s="6">
        <v>2388.9499999999998</v>
      </c>
      <c r="I83" s="6">
        <v>2742.97</v>
      </c>
      <c r="J83" s="8" t="s">
        <v>17</v>
      </c>
      <c r="K83" s="12">
        <v>0.25</v>
      </c>
      <c r="L83" s="8" t="s">
        <v>31</v>
      </c>
      <c r="M83" s="8" t="s">
        <v>22</v>
      </c>
      <c r="N83" s="10" t="s">
        <v>53</v>
      </c>
      <c r="O83" s="17">
        <f xml:space="preserve"> (Tabla1[[#This Row],[Unit_Price]] - Tabla1[[#This Row],[Unit_Cost]] ) * Tabla1[[#This Row],[Quantity_Sold]]</f>
        <v>2124.12</v>
      </c>
      <c r="P83" s="12">
        <f>Tabla1[[#This Row],[Profit]] / Tabla1[[#This Row],[Sales_Calculated]]</f>
        <v>0.12906448120103392</v>
      </c>
      <c r="Q83" s="20">
        <f xml:space="preserve"> Tabla1[[#This Row],[Unit_Price]] * Tabla1[[#This Row],[Quantity_Sold]]</f>
        <v>16457.82</v>
      </c>
    </row>
    <row r="84" spans="1:17" x14ac:dyDescent="0.3">
      <c r="A84" s="2">
        <v>1034</v>
      </c>
      <c r="B84" s="1">
        <v>45056</v>
      </c>
      <c r="C84" s="8" t="s">
        <v>38</v>
      </c>
      <c r="D84" s="8" t="s">
        <v>34</v>
      </c>
      <c r="E84" s="6">
        <v>4892.3599999999997</v>
      </c>
      <c r="F84" s="2">
        <v>19</v>
      </c>
      <c r="G84" s="8" t="s">
        <v>29</v>
      </c>
      <c r="H84" s="6">
        <v>1922.21</v>
      </c>
      <c r="I84" s="6">
        <v>2180.83</v>
      </c>
      <c r="J84" s="8" t="s">
        <v>17</v>
      </c>
      <c r="K84" s="12">
        <v>0.17</v>
      </c>
      <c r="L84" s="8" t="s">
        <v>31</v>
      </c>
      <c r="M84" s="8" t="s">
        <v>22</v>
      </c>
      <c r="N84" s="10" t="s">
        <v>48</v>
      </c>
      <c r="O84" s="17">
        <f xml:space="preserve"> (Tabla1[[#This Row],[Unit_Price]] - Tabla1[[#This Row],[Unit_Cost]] ) * Tabla1[[#This Row],[Quantity_Sold]]</f>
        <v>4913.7799999999979</v>
      </c>
      <c r="P84" s="12">
        <f>Tabla1[[#This Row],[Profit]] / Tabla1[[#This Row],[Sales_Calculated]]</f>
        <v>0.11858787709266651</v>
      </c>
      <c r="Q84" s="20">
        <f xml:space="preserve"> Tabla1[[#This Row],[Unit_Price]] * Tabla1[[#This Row],[Quantity_Sold]]</f>
        <v>41435.769999999997</v>
      </c>
    </row>
    <row r="85" spans="1:17" x14ac:dyDescent="0.3">
      <c r="A85" s="2">
        <v>1074</v>
      </c>
      <c r="B85" s="1">
        <v>45010</v>
      </c>
      <c r="C85" s="8" t="s">
        <v>38</v>
      </c>
      <c r="D85" s="8" t="s">
        <v>21</v>
      </c>
      <c r="E85" s="6">
        <v>7499.7</v>
      </c>
      <c r="F85" s="2">
        <v>38</v>
      </c>
      <c r="G85" s="8" t="s">
        <v>26</v>
      </c>
      <c r="H85" s="6">
        <v>2610.6</v>
      </c>
      <c r="I85" s="6">
        <v>2836.94</v>
      </c>
      <c r="J85" s="8" t="s">
        <v>17</v>
      </c>
      <c r="K85" s="12">
        <v>0.19</v>
      </c>
      <c r="L85" s="8" t="s">
        <v>31</v>
      </c>
      <c r="M85" s="8" t="s">
        <v>19</v>
      </c>
      <c r="N85" s="10" t="s">
        <v>41</v>
      </c>
      <c r="O85" s="17">
        <f xml:space="preserve"> (Tabla1[[#This Row],[Unit_Price]] - Tabla1[[#This Row],[Unit_Cost]] ) * Tabla1[[#This Row],[Quantity_Sold]]</f>
        <v>8600.9200000000055</v>
      </c>
      <c r="P85" s="12">
        <f>Tabla1[[#This Row],[Profit]] / Tabla1[[#This Row],[Sales_Calculated]]</f>
        <v>7.9783146629819501E-2</v>
      </c>
      <c r="Q85" s="20">
        <f xml:space="preserve"> Tabla1[[#This Row],[Unit_Price]] * Tabla1[[#This Row],[Quantity_Sold]]</f>
        <v>107803.72</v>
      </c>
    </row>
    <row r="86" spans="1:17" x14ac:dyDescent="0.3">
      <c r="A86" s="2">
        <v>1062</v>
      </c>
      <c r="B86" s="1">
        <v>45247</v>
      </c>
      <c r="C86" s="8" t="s">
        <v>33</v>
      </c>
      <c r="D86" s="8" t="s">
        <v>15</v>
      </c>
      <c r="E86" s="6">
        <v>4790.72</v>
      </c>
      <c r="F86" s="2">
        <v>28</v>
      </c>
      <c r="G86" s="8" t="s">
        <v>29</v>
      </c>
      <c r="H86" s="6">
        <v>2094.88</v>
      </c>
      <c r="I86" s="6">
        <v>2168.91</v>
      </c>
      <c r="J86" s="8" t="s">
        <v>17</v>
      </c>
      <c r="K86" s="12">
        <v>0.08</v>
      </c>
      <c r="L86" s="8" t="s">
        <v>18</v>
      </c>
      <c r="M86" s="8" t="s">
        <v>22</v>
      </c>
      <c r="N86" s="10" t="s">
        <v>53</v>
      </c>
      <c r="O86" s="17">
        <f xml:space="preserve"> (Tabla1[[#This Row],[Unit_Price]] - Tabla1[[#This Row],[Unit_Cost]] ) * Tabla1[[#This Row],[Quantity_Sold]]</f>
        <v>2072.8399999999929</v>
      </c>
      <c r="P86" s="12">
        <f>Tabla1[[#This Row],[Profit]] / Tabla1[[#This Row],[Sales_Calculated]]</f>
        <v>3.4132352195342247E-2</v>
      </c>
      <c r="Q86" s="20">
        <f xml:space="preserve"> Tabla1[[#This Row],[Unit_Price]] * Tabla1[[#This Row],[Quantity_Sold]]</f>
        <v>60729.479999999996</v>
      </c>
    </row>
    <row r="87" spans="1:17" x14ac:dyDescent="0.3">
      <c r="A87" s="2">
        <v>1100</v>
      </c>
      <c r="B87" s="1">
        <v>45245</v>
      </c>
      <c r="C87" s="8" t="s">
        <v>38</v>
      </c>
      <c r="D87" s="8" t="s">
        <v>34</v>
      </c>
      <c r="E87" s="6">
        <v>672.66</v>
      </c>
      <c r="F87" s="2">
        <v>2</v>
      </c>
      <c r="G87" s="8" t="s">
        <v>16</v>
      </c>
      <c r="H87" s="6">
        <v>1036.76</v>
      </c>
      <c r="I87" s="6">
        <v>1189.3499999999999</v>
      </c>
      <c r="J87" s="8" t="s">
        <v>30</v>
      </c>
      <c r="K87" s="12">
        <v>0.27</v>
      </c>
      <c r="L87" s="8" t="s">
        <v>27</v>
      </c>
      <c r="M87" s="8" t="s">
        <v>19</v>
      </c>
      <c r="N87" s="10" t="s">
        <v>48</v>
      </c>
      <c r="O87" s="17">
        <f xml:space="preserve"> (Tabla1[[#This Row],[Unit_Price]] - Tabla1[[#This Row],[Unit_Cost]] ) * Tabla1[[#This Row],[Quantity_Sold]]</f>
        <v>305.17999999999984</v>
      </c>
      <c r="P87" s="12">
        <f>Tabla1[[#This Row],[Profit]] / Tabla1[[#This Row],[Sales_Calculated]]</f>
        <v>0.12829696893261019</v>
      </c>
      <c r="Q87" s="20">
        <f xml:space="preserve"> Tabla1[[#This Row],[Unit_Price]] * Tabla1[[#This Row],[Quantity_Sold]]</f>
        <v>2378.6999999999998</v>
      </c>
    </row>
    <row r="88" spans="1:17" x14ac:dyDescent="0.3">
      <c r="A88" s="2">
        <v>1014</v>
      </c>
      <c r="B88" s="1">
        <v>45027</v>
      </c>
      <c r="C88" s="8" t="s">
        <v>42</v>
      </c>
      <c r="D88" s="8" t="s">
        <v>25</v>
      </c>
      <c r="E88" s="6">
        <v>9582.1200000000008</v>
      </c>
      <c r="F88" s="2">
        <v>38</v>
      </c>
      <c r="G88" s="8" t="s">
        <v>26</v>
      </c>
      <c r="H88" s="6">
        <v>2091.21</v>
      </c>
      <c r="I88" s="6">
        <v>2527</v>
      </c>
      <c r="J88" s="8" t="s">
        <v>17</v>
      </c>
      <c r="K88" s="12">
        <v>0.01</v>
      </c>
      <c r="L88" s="8" t="s">
        <v>31</v>
      </c>
      <c r="M88" s="8" t="s">
        <v>19</v>
      </c>
      <c r="N88" s="10" t="s">
        <v>43</v>
      </c>
      <c r="O88" s="17">
        <f xml:space="preserve"> (Tabla1[[#This Row],[Unit_Price]] - Tabla1[[#This Row],[Unit_Cost]] ) * Tabla1[[#This Row],[Quantity_Sold]]</f>
        <v>16560.019999999997</v>
      </c>
      <c r="P88" s="12">
        <f>Tabla1[[#This Row],[Profit]] / Tabla1[[#This Row],[Sales_Calculated]]</f>
        <v>0.17245350217649383</v>
      </c>
      <c r="Q88" s="20">
        <f xml:space="preserve"> Tabla1[[#This Row],[Unit_Price]] * Tabla1[[#This Row],[Quantity_Sold]]</f>
        <v>96026</v>
      </c>
    </row>
    <row r="89" spans="1:17" x14ac:dyDescent="0.3">
      <c r="A89" s="2">
        <v>1095</v>
      </c>
      <c r="B89" s="1">
        <v>45255</v>
      </c>
      <c r="C89" s="8" t="s">
        <v>42</v>
      </c>
      <c r="D89" s="8" t="s">
        <v>34</v>
      </c>
      <c r="E89" s="6">
        <v>9432.9699999999993</v>
      </c>
      <c r="F89" s="2">
        <v>37</v>
      </c>
      <c r="G89" s="8" t="s">
        <v>35</v>
      </c>
      <c r="H89" s="6">
        <v>407.77</v>
      </c>
      <c r="I89" s="6">
        <v>860.95</v>
      </c>
      <c r="J89" s="8" t="s">
        <v>30</v>
      </c>
      <c r="K89" s="12">
        <v>0.1</v>
      </c>
      <c r="L89" s="8" t="s">
        <v>31</v>
      </c>
      <c r="M89" s="8" t="s">
        <v>22</v>
      </c>
      <c r="N89" s="10" t="s">
        <v>52</v>
      </c>
      <c r="O89" s="17">
        <f xml:space="preserve"> (Tabla1[[#This Row],[Unit_Price]] - Tabla1[[#This Row],[Unit_Cost]] ) * Tabla1[[#This Row],[Quantity_Sold]]</f>
        <v>16767.660000000003</v>
      </c>
      <c r="P89" s="12">
        <f>Tabla1[[#This Row],[Profit]] / Tabla1[[#This Row],[Sales_Calculated]]</f>
        <v>0.52637203089610318</v>
      </c>
      <c r="Q89" s="20">
        <f xml:space="preserve"> Tabla1[[#This Row],[Unit_Price]] * Tabla1[[#This Row],[Quantity_Sold]]</f>
        <v>31855.15</v>
      </c>
    </row>
    <row r="90" spans="1:17" x14ac:dyDescent="0.3">
      <c r="A90" s="2">
        <v>1048</v>
      </c>
      <c r="B90" s="1">
        <v>45199</v>
      </c>
      <c r="C90" s="8" t="s">
        <v>33</v>
      </c>
      <c r="D90" s="8" t="s">
        <v>15</v>
      </c>
      <c r="E90" s="6">
        <v>7873.38</v>
      </c>
      <c r="F90" s="2">
        <v>4</v>
      </c>
      <c r="G90" s="8" t="s">
        <v>16</v>
      </c>
      <c r="H90" s="6">
        <v>2900.14</v>
      </c>
      <c r="I90" s="6">
        <v>2910.5099999999902</v>
      </c>
      <c r="J90" s="8" t="s">
        <v>30</v>
      </c>
      <c r="K90" s="12">
        <v>0.22</v>
      </c>
      <c r="L90" s="8" t="s">
        <v>31</v>
      </c>
      <c r="M90" s="8" t="s">
        <v>22</v>
      </c>
      <c r="N90" s="10" t="s">
        <v>53</v>
      </c>
      <c r="O90" s="17">
        <f xml:space="preserve"> (Tabla1[[#This Row],[Unit_Price]] - Tabla1[[#This Row],[Unit_Cost]] ) * Tabla1[[#This Row],[Quantity_Sold]]</f>
        <v>41.479999999961365</v>
      </c>
      <c r="P90" s="12">
        <f>Tabla1[[#This Row],[Profit]] / Tabla1[[#This Row],[Sales_Calculated]]</f>
        <v>3.5629494487187385E-3</v>
      </c>
      <c r="Q90" s="20">
        <f xml:space="preserve"> Tabla1[[#This Row],[Unit_Price]] * Tabla1[[#This Row],[Quantity_Sold]]</f>
        <v>11642.039999999961</v>
      </c>
    </row>
    <row r="91" spans="1:17" x14ac:dyDescent="0.3">
      <c r="A91" s="2">
        <v>1015</v>
      </c>
      <c r="B91" s="1">
        <v>45191</v>
      </c>
      <c r="C91" s="8" t="s">
        <v>24</v>
      </c>
      <c r="D91" s="8" t="s">
        <v>25</v>
      </c>
      <c r="E91" s="6">
        <v>9914.15</v>
      </c>
      <c r="F91" s="2">
        <v>22</v>
      </c>
      <c r="G91" s="8" t="s">
        <v>35</v>
      </c>
      <c r="H91" s="6">
        <v>4275.59</v>
      </c>
      <c r="I91" s="6">
        <v>4576.72</v>
      </c>
      <c r="J91" s="8" t="s">
        <v>17</v>
      </c>
      <c r="K91" s="12">
        <v>0.02</v>
      </c>
      <c r="L91" s="8" t="s">
        <v>18</v>
      </c>
      <c r="M91" s="8" t="s">
        <v>22</v>
      </c>
      <c r="N91" s="10" t="s">
        <v>28</v>
      </c>
      <c r="O91" s="17">
        <f xml:space="preserve"> (Tabla1[[#This Row],[Unit_Price]] - Tabla1[[#This Row],[Unit_Cost]] ) * Tabla1[[#This Row],[Quantity_Sold]]</f>
        <v>6624.8600000000024</v>
      </c>
      <c r="P91" s="12">
        <f>Tabla1[[#This Row],[Profit]] / Tabla1[[#This Row],[Sales_Calculated]]</f>
        <v>6.5796028596899106E-2</v>
      </c>
      <c r="Q91" s="20">
        <f xml:space="preserve"> Tabla1[[#This Row],[Unit_Price]] * Tabla1[[#This Row],[Quantity_Sold]]</f>
        <v>100687.84000000001</v>
      </c>
    </row>
    <row r="92" spans="1:17" x14ac:dyDescent="0.3">
      <c r="A92" s="2">
        <v>1072</v>
      </c>
      <c r="B92" s="1">
        <v>44964</v>
      </c>
      <c r="C92" s="8" t="s">
        <v>14</v>
      </c>
      <c r="D92" s="8" t="s">
        <v>34</v>
      </c>
      <c r="E92" s="6">
        <v>5490.38</v>
      </c>
      <c r="F92" s="2">
        <v>26</v>
      </c>
      <c r="G92" s="8" t="s">
        <v>26</v>
      </c>
      <c r="H92" s="6">
        <v>3640.17</v>
      </c>
      <c r="I92" s="6">
        <v>4002.63</v>
      </c>
      <c r="J92" s="8" t="s">
        <v>30</v>
      </c>
      <c r="K92" s="12">
        <v>0.05</v>
      </c>
      <c r="L92" s="8" t="s">
        <v>31</v>
      </c>
      <c r="M92" s="8" t="s">
        <v>22</v>
      </c>
      <c r="N92" s="10" t="s">
        <v>46</v>
      </c>
      <c r="O92" s="17">
        <f xml:space="preserve"> (Tabla1[[#This Row],[Unit_Price]] - Tabla1[[#This Row],[Unit_Cost]] ) * Tabla1[[#This Row],[Quantity_Sold]]</f>
        <v>9423.9600000000009</v>
      </c>
      <c r="P92" s="12">
        <f>Tabla1[[#This Row],[Profit]] / Tabla1[[#This Row],[Sales_Calculated]]</f>
        <v>9.0555459785191236E-2</v>
      </c>
      <c r="Q92" s="20">
        <f xml:space="preserve"> Tabla1[[#This Row],[Unit_Price]] * Tabla1[[#This Row],[Quantity_Sold]]</f>
        <v>104068.38</v>
      </c>
    </row>
    <row r="93" spans="1:17" x14ac:dyDescent="0.3">
      <c r="A93" s="2">
        <v>1078</v>
      </c>
      <c r="B93" s="1">
        <v>45020</v>
      </c>
      <c r="C93" s="8" t="s">
        <v>24</v>
      </c>
      <c r="D93" s="8" t="s">
        <v>34</v>
      </c>
      <c r="E93" s="6">
        <v>9631.41</v>
      </c>
      <c r="F93" s="2">
        <v>49</v>
      </c>
      <c r="G93" s="8" t="s">
        <v>16</v>
      </c>
      <c r="H93" s="6">
        <v>1833.95</v>
      </c>
      <c r="I93" s="6">
        <v>2147.14</v>
      </c>
      <c r="J93" s="8" t="s">
        <v>17</v>
      </c>
      <c r="K93" s="12">
        <v>0.18</v>
      </c>
      <c r="L93" s="8" t="s">
        <v>31</v>
      </c>
      <c r="M93" s="8" t="s">
        <v>22</v>
      </c>
      <c r="N93" s="10" t="s">
        <v>50</v>
      </c>
      <c r="O93" s="17">
        <f xml:space="preserve"> (Tabla1[[#This Row],[Unit_Price]] - Tabla1[[#This Row],[Unit_Cost]] ) * Tabla1[[#This Row],[Quantity_Sold]]</f>
        <v>15346.309999999992</v>
      </c>
      <c r="P93" s="12">
        <f>Tabla1[[#This Row],[Profit]] / Tabla1[[#This Row],[Sales_Calculated]]</f>
        <v>0.14586380021796427</v>
      </c>
      <c r="Q93" s="20">
        <f xml:space="preserve"> Tabla1[[#This Row],[Unit_Price]] * Tabla1[[#This Row],[Quantity_Sold]]</f>
        <v>105209.86</v>
      </c>
    </row>
    <row r="94" spans="1:17" x14ac:dyDescent="0.3">
      <c r="A94" s="2">
        <v>1087</v>
      </c>
      <c r="B94" s="1">
        <v>45021</v>
      </c>
      <c r="C94" s="8" t="s">
        <v>38</v>
      </c>
      <c r="D94" s="8" t="s">
        <v>34</v>
      </c>
      <c r="E94" s="6">
        <v>848.49</v>
      </c>
      <c r="F94" s="2">
        <v>43</v>
      </c>
      <c r="G94" s="8" t="s">
        <v>16</v>
      </c>
      <c r="H94" s="6">
        <v>481</v>
      </c>
      <c r="I94" s="6">
        <v>531.02</v>
      </c>
      <c r="J94" s="8" t="s">
        <v>30</v>
      </c>
      <c r="K94" s="12">
        <v>0.17</v>
      </c>
      <c r="L94" s="8" t="s">
        <v>18</v>
      </c>
      <c r="M94" s="8" t="s">
        <v>19</v>
      </c>
      <c r="N94" s="10" t="s">
        <v>48</v>
      </c>
      <c r="O94" s="17">
        <f xml:space="preserve"> (Tabla1[[#This Row],[Unit_Price]] - Tabla1[[#This Row],[Unit_Cost]] ) * Tabla1[[#This Row],[Quantity_Sold]]</f>
        <v>2150.8599999999992</v>
      </c>
      <c r="P94" s="12">
        <f>Tabla1[[#This Row],[Profit]] / Tabla1[[#This Row],[Sales_Calculated]]</f>
        <v>9.4196075477383109E-2</v>
      </c>
      <c r="Q94" s="20">
        <f xml:space="preserve"> Tabla1[[#This Row],[Unit_Price]] * Tabla1[[#This Row],[Quantity_Sold]]</f>
        <v>22833.86</v>
      </c>
    </row>
    <row r="95" spans="1:17" x14ac:dyDescent="0.3">
      <c r="A95" s="2">
        <v>1062</v>
      </c>
      <c r="B95" s="1">
        <v>45231</v>
      </c>
      <c r="C95" s="8" t="s">
        <v>14</v>
      </c>
      <c r="D95" s="8" t="s">
        <v>34</v>
      </c>
      <c r="E95" s="6">
        <v>3720.24</v>
      </c>
      <c r="F95" s="2">
        <v>36</v>
      </c>
      <c r="G95" s="8" t="s">
        <v>26</v>
      </c>
      <c r="H95" s="6">
        <v>1050.6400000000001</v>
      </c>
      <c r="I95" s="6">
        <v>1167.33</v>
      </c>
      <c r="J95" s="8" t="s">
        <v>30</v>
      </c>
      <c r="K95" s="12">
        <v>0.22</v>
      </c>
      <c r="L95" s="8" t="s">
        <v>18</v>
      </c>
      <c r="M95" s="8" t="s">
        <v>19</v>
      </c>
      <c r="N95" s="10" t="s">
        <v>46</v>
      </c>
      <c r="O95" s="17">
        <f xml:space="preserve"> (Tabla1[[#This Row],[Unit_Price]] - Tabla1[[#This Row],[Unit_Cost]] ) * Tabla1[[#This Row],[Quantity_Sold]]</f>
        <v>4200.8399999999938</v>
      </c>
      <c r="P95" s="12">
        <f>Tabla1[[#This Row],[Profit]] / Tabla1[[#This Row],[Sales_Calculated]]</f>
        <v>9.9963163801152916E-2</v>
      </c>
      <c r="Q95" s="20">
        <f xml:space="preserve"> Tabla1[[#This Row],[Unit_Price]] * Tabla1[[#This Row],[Quantity_Sold]]</f>
        <v>42023.88</v>
      </c>
    </row>
    <row r="96" spans="1:17" x14ac:dyDescent="0.3">
      <c r="A96" s="2">
        <v>1040</v>
      </c>
      <c r="B96" s="1">
        <v>44995</v>
      </c>
      <c r="C96" s="8" t="s">
        <v>33</v>
      </c>
      <c r="D96" s="8" t="s">
        <v>34</v>
      </c>
      <c r="E96" s="6">
        <v>2331.27</v>
      </c>
      <c r="F96" s="2">
        <v>13</v>
      </c>
      <c r="G96" s="8" t="s">
        <v>29</v>
      </c>
      <c r="H96" s="6">
        <v>2750.18</v>
      </c>
      <c r="I96" s="6">
        <v>2882.85</v>
      </c>
      <c r="J96" s="8" t="s">
        <v>17</v>
      </c>
      <c r="K96" s="12">
        <v>0.24</v>
      </c>
      <c r="L96" s="8" t="s">
        <v>31</v>
      </c>
      <c r="M96" s="8" t="s">
        <v>19</v>
      </c>
      <c r="N96" s="10" t="s">
        <v>36</v>
      </c>
      <c r="O96" s="17">
        <f xml:space="preserve"> (Tabla1[[#This Row],[Unit_Price]] - Tabla1[[#This Row],[Unit_Cost]] ) * Tabla1[[#This Row],[Quantity_Sold]]</f>
        <v>1724.7100000000009</v>
      </c>
      <c r="P96" s="12">
        <f>Tabla1[[#This Row],[Profit]] / Tabla1[[#This Row],[Sales_Calculated]]</f>
        <v>4.6020431170543066E-2</v>
      </c>
      <c r="Q96" s="20">
        <f xml:space="preserve"> Tabla1[[#This Row],[Unit_Price]] * Tabla1[[#This Row],[Quantity_Sold]]</f>
        <v>37477.049999999996</v>
      </c>
    </row>
    <row r="97" spans="1:17" x14ac:dyDescent="0.3">
      <c r="A97" s="2">
        <v>1085</v>
      </c>
      <c r="B97" s="1">
        <v>45244</v>
      </c>
      <c r="C97" s="8" t="s">
        <v>33</v>
      </c>
      <c r="D97" s="8" t="s">
        <v>25</v>
      </c>
      <c r="E97" s="6">
        <v>2038.75</v>
      </c>
      <c r="F97" s="2">
        <v>32</v>
      </c>
      <c r="G97" s="8" t="s">
        <v>16</v>
      </c>
      <c r="H97" s="6">
        <v>1074.93</v>
      </c>
      <c r="I97" s="6">
        <v>1492.48</v>
      </c>
      <c r="J97" s="8" t="s">
        <v>17</v>
      </c>
      <c r="K97" s="12">
        <v>0.04</v>
      </c>
      <c r="L97" s="8" t="s">
        <v>31</v>
      </c>
      <c r="M97" s="8" t="s">
        <v>22</v>
      </c>
      <c r="N97" s="10" t="s">
        <v>44</v>
      </c>
      <c r="O97" s="17">
        <f xml:space="preserve"> (Tabla1[[#This Row],[Unit_Price]] - Tabla1[[#This Row],[Unit_Cost]] ) * Tabla1[[#This Row],[Quantity_Sold]]</f>
        <v>13361.599999999999</v>
      </c>
      <c r="P97" s="12">
        <f>Tabla1[[#This Row],[Profit]] / Tabla1[[#This Row],[Sales_Calculated]]</f>
        <v>0.27976924313893647</v>
      </c>
      <c r="Q97" s="20">
        <f xml:space="preserve"> Tabla1[[#This Row],[Unit_Price]] * Tabla1[[#This Row],[Quantity_Sold]]</f>
        <v>47759.360000000001</v>
      </c>
    </row>
    <row r="98" spans="1:17" x14ac:dyDescent="0.3">
      <c r="A98" s="2">
        <v>1080</v>
      </c>
      <c r="B98" s="1">
        <v>45162</v>
      </c>
      <c r="C98" s="8" t="s">
        <v>14</v>
      </c>
      <c r="D98" s="8" t="s">
        <v>21</v>
      </c>
      <c r="E98" s="6">
        <v>1493.95</v>
      </c>
      <c r="F98" s="2">
        <v>17</v>
      </c>
      <c r="G98" s="8" t="s">
        <v>16</v>
      </c>
      <c r="H98" s="6">
        <v>2742.67</v>
      </c>
      <c r="I98" s="6">
        <v>2979.64</v>
      </c>
      <c r="J98" s="8" t="s">
        <v>17</v>
      </c>
      <c r="K98" s="12">
        <v>0.01</v>
      </c>
      <c r="L98" s="8" t="s">
        <v>18</v>
      </c>
      <c r="M98" s="8" t="s">
        <v>22</v>
      </c>
      <c r="N98" s="10" t="s">
        <v>23</v>
      </c>
      <c r="O98" s="17">
        <f xml:space="preserve"> (Tabla1[[#This Row],[Unit_Price]] - Tabla1[[#This Row],[Unit_Cost]] ) * Tabla1[[#This Row],[Quantity_Sold]]</f>
        <v>4028.4899999999966</v>
      </c>
      <c r="P98" s="12">
        <f>Tabla1[[#This Row],[Profit]] / Tabla1[[#This Row],[Sales_Calculated]]</f>
        <v>7.9529741848008415E-2</v>
      </c>
      <c r="Q98" s="20">
        <f xml:space="preserve"> Tabla1[[#This Row],[Unit_Price]] * Tabla1[[#This Row],[Quantity_Sold]]</f>
        <v>50653.88</v>
      </c>
    </row>
    <row r="99" spans="1:17" x14ac:dyDescent="0.3">
      <c r="A99" s="2">
        <v>1082</v>
      </c>
      <c r="B99" s="1">
        <v>45260</v>
      </c>
      <c r="C99" s="8" t="s">
        <v>42</v>
      </c>
      <c r="D99" s="8" t="s">
        <v>25</v>
      </c>
      <c r="E99" s="6">
        <v>6261.9</v>
      </c>
      <c r="F99" s="2">
        <v>41</v>
      </c>
      <c r="G99" s="8" t="s">
        <v>35</v>
      </c>
      <c r="H99" s="6">
        <v>1196.42</v>
      </c>
      <c r="I99" s="6">
        <v>1444.97</v>
      </c>
      <c r="J99" s="8" t="s">
        <v>17</v>
      </c>
      <c r="K99" s="12">
        <v>0.21</v>
      </c>
      <c r="L99" s="8" t="s">
        <v>27</v>
      </c>
      <c r="M99" s="8" t="s">
        <v>19</v>
      </c>
      <c r="N99" s="10" t="s">
        <v>43</v>
      </c>
      <c r="O99" s="17">
        <f xml:space="preserve"> (Tabla1[[#This Row],[Unit_Price]] - Tabla1[[#This Row],[Unit_Cost]] ) * Tabla1[[#This Row],[Quantity_Sold]]</f>
        <v>10190.549999999997</v>
      </c>
      <c r="P99" s="12">
        <f>Tabla1[[#This Row],[Profit]] / Tabla1[[#This Row],[Sales_Calculated]]</f>
        <v>0.17201049156729892</v>
      </c>
      <c r="Q99" s="20">
        <f xml:space="preserve"> Tabla1[[#This Row],[Unit_Price]] * Tabla1[[#This Row],[Quantity_Sold]]</f>
        <v>59243.770000000004</v>
      </c>
    </row>
    <row r="100" spans="1:17" x14ac:dyDescent="0.3">
      <c r="A100" s="2">
        <v>1053</v>
      </c>
      <c r="B100" s="1">
        <v>45063</v>
      </c>
      <c r="C100" s="8" t="s">
        <v>14</v>
      </c>
      <c r="D100" s="8" t="s">
        <v>25</v>
      </c>
      <c r="E100" s="6">
        <v>7835.09</v>
      </c>
      <c r="F100" s="2">
        <v>36</v>
      </c>
      <c r="G100" s="8" t="s">
        <v>29</v>
      </c>
      <c r="H100" s="6">
        <v>4252.17</v>
      </c>
      <c r="I100" s="6">
        <v>4720.2700000000004</v>
      </c>
      <c r="J100" s="8" t="s">
        <v>30</v>
      </c>
      <c r="K100" s="12">
        <v>0.09</v>
      </c>
      <c r="L100" s="8" t="s">
        <v>18</v>
      </c>
      <c r="M100" s="8" t="s">
        <v>22</v>
      </c>
      <c r="N100" s="10" t="s">
        <v>32</v>
      </c>
      <c r="O100" s="17">
        <f xml:space="preserve"> (Tabla1[[#This Row],[Unit_Price]] - Tabla1[[#This Row],[Unit_Cost]] ) * Tabla1[[#This Row],[Quantity_Sold]]</f>
        <v>16851.600000000013</v>
      </c>
      <c r="P100" s="12">
        <f>Tabla1[[#This Row],[Profit]] / Tabla1[[#This Row],[Sales_Calculated]]</f>
        <v>9.9168056064589588E-2</v>
      </c>
      <c r="Q100" s="20">
        <f xml:space="preserve"> Tabla1[[#This Row],[Unit_Price]] * Tabla1[[#This Row],[Quantity_Sold]]</f>
        <v>169929.72000000003</v>
      </c>
    </row>
    <row r="101" spans="1:17" x14ac:dyDescent="0.3">
      <c r="A101" s="2">
        <v>1024</v>
      </c>
      <c r="B101" s="1">
        <v>45002</v>
      </c>
      <c r="C101" s="8" t="s">
        <v>38</v>
      </c>
      <c r="D101" s="8" t="s">
        <v>25</v>
      </c>
      <c r="E101" s="6">
        <v>5825.15</v>
      </c>
      <c r="F101" s="2">
        <v>46</v>
      </c>
      <c r="G101" s="8" t="s">
        <v>35</v>
      </c>
      <c r="H101" s="6">
        <v>2016.49</v>
      </c>
      <c r="I101" s="6">
        <v>2338.66</v>
      </c>
      <c r="J101" s="8" t="s">
        <v>17</v>
      </c>
      <c r="K101" s="12">
        <v>0.19</v>
      </c>
      <c r="L101" s="8" t="s">
        <v>27</v>
      </c>
      <c r="M101" s="8" t="s">
        <v>22</v>
      </c>
      <c r="N101" s="10" t="s">
        <v>39</v>
      </c>
      <c r="O101" s="17">
        <f xml:space="preserve"> (Tabla1[[#This Row],[Unit_Price]] - Tabla1[[#This Row],[Unit_Cost]] ) * Tabla1[[#This Row],[Quantity_Sold]]</f>
        <v>14819.819999999992</v>
      </c>
      <c r="P101" s="12">
        <f>Tabla1[[#This Row],[Profit]] / Tabla1[[#This Row],[Sales_Calculated]]</f>
        <v>0.13775837445374697</v>
      </c>
      <c r="Q101" s="20">
        <f xml:space="preserve"> Tabla1[[#This Row],[Unit_Price]] * Tabla1[[#This Row],[Quantity_Sold]]</f>
        <v>107578.35999999999</v>
      </c>
    </row>
    <row r="102" spans="1:17" x14ac:dyDescent="0.3">
      <c r="A102" s="2">
        <v>1026</v>
      </c>
      <c r="B102" s="1">
        <v>44961</v>
      </c>
      <c r="C102" s="8" t="s">
        <v>42</v>
      </c>
      <c r="D102" s="8" t="s">
        <v>21</v>
      </c>
      <c r="E102" s="6">
        <v>1554.93</v>
      </c>
      <c r="F102" s="2">
        <v>19</v>
      </c>
      <c r="G102" s="8" t="s">
        <v>35</v>
      </c>
      <c r="H102" s="6">
        <v>1265.48</v>
      </c>
      <c r="I102" s="6">
        <v>1715.83</v>
      </c>
      <c r="J102" s="8" t="s">
        <v>30</v>
      </c>
      <c r="K102" s="12">
        <v>0.05</v>
      </c>
      <c r="L102" s="8" t="s">
        <v>31</v>
      </c>
      <c r="M102" s="8" t="s">
        <v>22</v>
      </c>
      <c r="N102" s="10" t="s">
        <v>51</v>
      </c>
      <c r="O102" s="17">
        <f xml:space="preserve"> (Tabla1[[#This Row],[Unit_Price]] - Tabla1[[#This Row],[Unit_Cost]] ) * Tabla1[[#This Row],[Quantity_Sold]]</f>
        <v>8556.6499999999978</v>
      </c>
      <c r="P102" s="12">
        <f>Tabla1[[#This Row],[Profit]] / Tabla1[[#This Row],[Sales_Calculated]]</f>
        <v>0.26246772698927046</v>
      </c>
      <c r="Q102" s="20">
        <f xml:space="preserve"> Tabla1[[#This Row],[Unit_Price]] * Tabla1[[#This Row],[Quantity_Sold]]</f>
        <v>32600.769999999997</v>
      </c>
    </row>
    <row r="103" spans="1:17" x14ac:dyDescent="0.3">
      <c r="A103" s="2">
        <v>1089</v>
      </c>
      <c r="B103" s="1">
        <v>44927</v>
      </c>
      <c r="C103" s="8" t="s">
        <v>33</v>
      </c>
      <c r="D103" s="8" t="s">
        <v>15</v>
      </c>
      <c r="E103" s="6">
        <v>8130.13</v>
      </c>
      <c r="F103" s="2">
        <v>35</v>
      </c>
      <c r="G103" s="8" t="s">
        <v>29</v>
      </c>
      <c r="H103" s="6">
        <v>4071.01</v>
      </c>
      <c r="I103" s="6">
        <v>4304.7</v>
      </c>
      <c r="J103" s="8" t="s">
        <v>30</v>
      </c>
      <c r="K103" s="12">
        <v>0.14000000000000001</v>
      </c>
      <c r="L103" s="8" t="s">
        <v>31</v>
      </c>
      <c r="M103" s="8" t="s">
        <v>19</v>
      </c>
      <c r="N103" s="10" t="s">
        <v>53</v>
      </c>
      <c r="O103" s="17">
        <f xml:space="preserve"> (Tabla1[[#This Row],[Unit_Price]] - Tabla1[[#This Row],[Unit_Cost]] ) * Tabla1[[#This Row],[Quantity_Sold]]</f>
        <v>8179.149999999986</v>
      </c>
      <c r="P103" s="12">
        <f>Tabla1[[#This Row],[Profit]] / Tabla1[[#This Row],[Sales_Calculated]]</f>
        <v>5.4287174483703765E-2</v>
      </c>
      <c r="Q103" s="20">
        <f xml:space="preserve"> Tabla1[[#This Row],[Unit_Price]] * Tabla1[[#This Row],[Quantity_Sold]]</f>
        <v>150664.5</v>
      </c>
    </row>
    <row r="104" spans="1:17" x14ac:dyDescent="0.3">
      <c r="A104" s="2">
        <v>1060</v>
      </c>
      <c r="B104" s="1">
        <v>45222</v>
      </c>
      <c r="C104" s="8" t="s">
        <v>14</v>
      </c>
      <c r="D104" s="8" t="s">
        <v>21</v>
      </c>
      <c r="E104" s="6">
        <v>6395.95</v>
      </c>
      <c r="F104" s="2">
        <v>46</v>
      </c>
      <c r="G104" s="8" t="s">
        <v>29</v>
      </c>
      <c r="H104" s="6">
        <v>1747.05</v>
      </c>
      <c r="I104" s="6">
        <v>1830.27</v>
      </c>
      <c r="J104" s="8" t="s">
        <v>30</v>
      </c>
      <c r="K104" s="12">
        <v>0.15</v>
      </c>
      <c r="L104" s="8" t="s">
        <v>27</v>
      </c>
      <c r="M104" s="8" t="s">
        <v>22</v>
      </c>
      <c r="N104" s="10" t="s">
        <v>23</v>
      </c>
      <c r="O104" s="17">
        <f xml:space="preserve"> (Tabla1[[#This Row],[Unit_Price]] - Tabla1[[#This Row],[Unit_Cost]] ) * Tabla1[[#This Row],[Quantity_Sold]]</f>
        <v>3828.1200000000013</v>
      </c>
      <c r="P104" s="12">
        <f>Tabla1[[#This Row],[Profit]] / Tabla1[[#This Row],[Sales_Calculated]]</f>
        <v>4.5468701339146697E-2</v>
      </c>
      <c r="Q104" s="20">
        <f xml:space="preserve"> Tabla1[[#This Row],[Unit_Price]] * Tabla1[[#This Row],[Quantity_Sold]]</f>
        <v>84192.42</v>
      </c>
    </row>
    <row r="105" spans="1:17" x14ac:dyDescent="0.3">
      <c r="A105" s="2">
        <v>1041</v>
      </c>
      <c r="B105" s="1">
        <v>45246</v>
      </c>
      <c r="C105" s="8" t="s">
        <v>24</v>
      </c>
      <c r="D105" s="8" t="s">
        <v>25</v>
      </c>
      <c r="E105" s="6">
        <v>3942.84</v>
      </c>
      <c r="F105" s="2">
        <v>40</v>
      </c>
      <c r="G105" s="8" t="s">
        <v>26</v>
      </c>
      <c r="H105" s="6">
        <v>601.86</v>
      </c>
      <c r="I105" s="6">
        <v>1067.53</v>
      </c>
      <c r="J105" s="8" t="s">
        <v>30</v>
      </c>
      <c r="K105" s="12">
        <v>0.18</v>
      </c>
      <c r="L105" s="8" t="s">
        <v>18</v>
      </c>
      <c r="M105" s="8" t="s">
        <v>19</v>
      </c>
      <c r="N105" s="10" t="s">
        <v>28</v>
      </c>
      <c r="O105" s="17">
        <f xml:space="preserve"> (Tabla1[[#This Row],[Unit_Price]] - Tabla1[[#This Row],[Unit_Cost]] ) * Tabla1[[#This Row],[Quantity_Sold]]</f>
        <v>18626.8</v>
      </c>
      <c r="P105" s="12">
        <f>Tabla1[[#This Row],[Profit]] / Tabla1[[#This Row],[Sales_Calculated]]</f>
        <v>0.436212565454835</v>
      </c>
      <c r="Q105" s="20">
        <f xml:space="preserve"> Tabla1[[#This Row],[Unit_Price]] * Tabla1[[#This Row],[Quantity_Sold]]</f>
        <v>42701.2</v>
      </c>
    </row>
    <row r="106" spans="1:17" x14ac:dyDescent="0.3">
      <c r="A106" s="2">
        <v>1029</v>
      </c>
      <c r="B106" s="1">
        <v>44986</v>
      </c>
      <c r="C106" s="8" t="s">
        <v>24</v>
      </c>
      <c r="D106" s="8" t="s">
        <v>34</v>
      </c>
      <c r="E106" s="6">
        <v>6773.89</v>
      </c>
      <c r="F106" s="2">
        <v>28</v>
      </c>
      <c r="G106" s="8" t="s">
        <v>29</v>
      </c>
      <c r="H106" s="6">
        <v>2873.53</v>
      </c>
      <c r="I106" s="6">
        <v>3108.3</v>
      </c>
      <c r="J106" s="8" t="s">
        <v>30</v>
      </c>
      <c r="K106" s="12">
        <v>0.15</v>
      </c>
      <c r="L106" s="8" t="s">
        <v>31</v>
      </c>
      <c r="M106" s="8" t="s">
        <v>22</v>
      </c>
      <c r="N106" s="10" t="s">
        <v>50</v>
      </c>
      <c r="O106" s="17">
        <f xml:space="preserve"> (Tabla1[[#This Row],[Unit_Price]] - Tabla1[[#This Row],[Unit_Cost]] ) * Tabla1[[#This Row],[Quantity_Sold]]</f>
        <v>6573.5599999999995</v>
      </c>
      <c r="P106" s="12">
        <f>Tabla1[[#This Row],[Profit]] / Tabla1[[#This Row],[Sales_Calculated]]</f>
        <v>7.5530032493646038E-2</v>
      </c>
      <c r="Q106" s="20">
        <f xml:space="preserve"> Tabla1[[#This Row],[Unit_Price]] * Tabla1[[#This Row],[Quantity_Sold]]</f>
        <v>87032.400000000009</v>
      </c>
    </row>
    <row r="107" spans="1:17" x14ac:dyDescent="0.3">
      <c r="A107" s="2">
        <v>1015</v>
      </c>
      <c r="B107" s="1">
        <v>45246</v>
      </c>
      <c r="C107" s="8" t="s">
        <v>38</v>
      </c>
      <c r="D107" s="8" t="s">
        <v>34</v>
      </c>
      <c r="E107" s="6">
        <v>2673.06</v>
      </c>
      <c r="F107" s="2">
        <v>1</v>
      </c>
      <c r="G107" s="8" t="s">
        <v>16</v>
      </c>
      <c r="H107" s="6">
        <v>2928.74</v>
      </c>
      <c r="I107" s="6">
        <v>3027.74</v>
      </c>
      <c r="J107" s="8" t="s">
        <v>30</v>
      </c>
      <c r="K107" s="12">
        <v>0.15</v>
      </c>
      <c r="L107" s="8" t="s">
        <v>27</v>
      </c>
      <c r="M107" s="8" t="s">
        <v>22</v>
      </c>
      <c r="N107" s="10" t="s">
        <v>48</v>
      </c>
      <c r="O107" s="17">
        <f xml:space="preserve"> (Tabla1[[#This Row],[Unit_Price]] - Tabla1[[#This Row],[Unit_Cost]] ) * Tabla1[[#This Row],[Quantity_Sold]]</f>
        <v>99</v>
      </c>
      <c r="P107" s="12">
        <f>Tabla1[[#This Row],[Profit]] / Tabla1[[#This Row],[Sales_Calculated]]</f>
        <v>3.2697655677171755E-2</v>
      </c>
      <c r="Q107" s="20">
        <f xml:space="preserve"> Tabla1[[#This Row],[Unit_Price]] * Tabla1[[#This Row],[Quantity_Sold]]</f>
        <v>3027.74</v>
      </c>
    </row>
    <row r="108" spans="1:17" x14ac:dyDescent="0.3">
      <c r="A108" s="2">
        <v>1045</v>
      </c>
      <c r="B108" s="1">
        <v>45275</v>
      </c>
      <c r="C108" s="8" t="s">
        <v>24</v>
      </c>
      <c r="D108" s="8" t="s">
        <v>25</v>
      </c>
      <c r="E108" s="6">
        <v>3517.4</v>
      </c>
      <c r="F108" s="2">
        <v>42</v>
      </c>
      <c r="G108" s="8" t="s">
        <v>29</v>
      </c>
      <c r="H108" s="6">
        <v>3587.74</v>
      </c>
      <c r="I108" s="6">
        <v>3745.91</v>
      </c>
      <c r="J108" s="8" t="s">
        <v>17</v>
      </c>
      <c r="K108" s="12">
        <v>0.1</v>
      </c>
      <c r="L108" s="8" t="s">
        <v>18</v>
      </c>
      <c r="M108" s="8" t="s">
        <v>19</v>
      </c>
      <c r="N108" s="10" t="s">
        <v>28</v>
      </c>
      <c r="O108" s="17">
        <f xml:space="preserve"> (Tabla1[[#This Row],[Unit_Price]] - Tabla1[[#This Row],[Unit_Cost]] ) * Tabla1[[#This Row],[Quantity_Sold]]</f>
        <v>6643.1400000000031</v>
      </c>
      <c r="P108" s="12">
        <f>Tabla1[[#This Row],[Profit]] / Tabla1[[#This Row],[Sales_Calculated]]</f>
        <v>4.2224719761019373E-2</v>
      </c>
      <c r="Q108" s="20">
        <f xml:space="preserve"> Tabla1[[#This Row],[Unit_Price]] * Tabla1[[#This Row],[Quantity_Sold]]</f>
        <v>157328.22</v>
      </c>
    </row>
    <row r="109" spans="1:17" x14ac:dyDescent="0.3">
      <c r="A109" s="2">
        <v>1065</v>
      </c>
      <c r="B109" s="1">
        <v>45254</v>
      </c>
      <c r="C109" s="8" t="s">
        <v>14</v>
      </c>
      <c r="D109" s="8" t="s">
        <v>34</v>
      </c>
      <c r="E109" s="6">
        <v>9183.11</v>
      </c>
      <c r="F109" s="2">
        <v>18</v>
      </c>
      <c r="G109" s="8" t="s">
        <v>26</v>
      </c>
      <c r="H109" s="6">
        <v>1239.0899999999999</v>
      </c>
      <c r="I109" s="6">
        <v>1273.98</v>
      </c>
      <c r="J109" s="8" t="s">
        <v>30</v>
      </c>
      <c r="K109" s="12">
        <v>0.02</v>
      </c>
      <c r="L109" s="8" t="s">
        <v>27</v>
      </c>
      <c r="M109" s="8" t="s">
        <v>22</v>
      </c>
      <c r="N109" s="10" t="s">
        <v>46</v>
      </c>
      <c r="O109" s="17">
        <f xml:space="preserve"> (Tabla1[[#This Row],[Unit_Price]] - Tabla1[[#This Row],[Unit_Cost]] ) * Tabla1[[#This Row],[Quantity_Sold]]</f>
        <v>628.0200000000018</v>
      </c>
      <c r="P109" s="12">
        <f>Tabla1[[#This Row],[Profit]] / Tabla1[[#This Row],[Sales_Calculated]]</f>
        <v>2.7386615174492614E-2</v>
      </c>
      <c r="Q109" s="20">
        <f xml:space="preserve"> Tabla1[[#This Row],[Unit_Price]] * Tabla1[[#This Row],[Quantity_Sold]]</f>
        <v>22931.64</v>
      </c>
    </row>
    <row r="110" spans="1:17" x14ac:dyDescent="0.3">
      <c r="A110" s="2">
        <v>1089</v>
      </c>
      <c r="B110" s="1">
        <v>45193</v>
      </c>
      <c r="C110" s="8" t="s">
        <v>14</v>
      </c>
      <c r="D110" s="8" t="s">
        <v>25</v>
      </c>
      <c r="E110" s="6">
        <v>2975.99</v>
      </c>
      <c r="F110" s="2">
        <v>48</v>
      </c>
      <c r="G110" s="8" t="s">
        <v>26</v>
      </c>
      <c r="H110" s="6">
        <v>2246.67</v>
      </c>
      <c r="I110" s="6">
        <v>2486.14</v>
      </c>
      <c r="J110" s="8" t="s">
        <v>30</v>
      </c>
      <c r="K110" s="12">
        <v>0.03</v>
      </c>
      <c r="L110" s="8" t="s">
        <v>18</v>
      </c>
      <c r="M110" s="8" t="s">
        <v>22</v>
      </c>
      <c r="N110" s="10" t="s">
        <v>32</v>
      </c>
      <c r="O110" s="17">
        <f xml:space="preserve"> (Tabla1[[#This Row],[Unit_Price]] - Tabla1[[#This Row],[Unit_Cost]] ) * Tabla1[[#This Row],[Quantity_Sold]]</f>
        <v>11494.55999999999</v>
      </c>
      <c r="P110" s="12">
        <f>Tabla1[[#This Row],[Profit]] / Tabla1[[#This Row],[Sales_Calculated]]</f>
        <v>9.6322009219110674E-2</v>
      </c>
      <c r="Q110" s="20">
        <f xml:space="preserve"> Tabla1[[#This Row],[Unit_Price]] * Tabla1[[#This Row],[Quantity_Sold]]</f>
        <v>119334.72</v>
      </c>
    </row>
    <row r="111" spans="1:17" x14ac:dyDescent="0.3">
      <c r="A111" s="2">
        <v>1071</v>
      </c>
      <c r="B111" s="1">
        <v>45287</v>
      </c>
      <c r="C111" s="8" t="s">
        <v>24</v>
      </c>
      <c r="D111" s="8" t="s">
        <v>34</v>
      </c>
      <c r="E111" s="6">
        <v>4752.88</v>
      </c>
      <c r="F111" s="2">
        <v>40</v>
      </c>
      <c r="G111" s="8" t="s">
        <v>26</v>
      </c>
      <c r="H111" s="6">
        <v>1447.72</v>
      </c>
      <c r="I111" s="6">
        <v>1875.75</v>
      </c>
      <c r="J111" s="8" t="s">
        <v>30</v>
      </c>
      <c r="K111" s="12">
        <v>0.13</v>
      </c>
      <c r="L111" s="8" t="s">
        <v>18</v>
      </c>
      <c r="M111" s="8" t="s">
        <v>22</v>
      </c>
      <c r="N111" s="10" t="s">
        <v>50</v>
      </c>
      <c r="O111" s="17">
        <f xml:space="preserve"> (Tabla1[[#This Row],[Unit_Price]] - Tabla1[[#This Row],[Unit_Cost]] ) * Tabla1[[#This Row],[Quantity_Sold]]</f>
        <v>17121.199999999997</v>
      </c>
      <c r="P111" s="12">
        <f>Tabla1[[#This Row],[Profit]] / Tabla1[[#This Row],[Sales_Calculated]]</f>
        <v>0.22819139011062237</v>
      </c>
      <c r="Q111" s="20">
        <f xml:space="preserve"> Tabla1[[#This Row],[Unit_Price]] * Tabla1[[#This Row],[Quantity_Sold]]</f>
        <v>75030</v>
      </c>
    </row>
    <row r="112" spans="1:17" x14ac:dyDescent="0.3">
      <c r="A112" s="2">
        <v>1009</v>
      </c>
      <c r="B112" s="1">
        <v>45155</v>
      </c>
      <c r="C112" s="8" t="s">
        <v>14</v>
      </c>
      <c r="D112" s="8" t="s">
        <v>21</v>
      </c>
      <c r="E112" s="6">
        <v>8912.4</v>
      </c>
      <c r="F112" s="2">
        <v>33</v>
      </c>
      <c r="G112" s="8" t="s">
        <v>29</v>
      </c>
      <c r="H112" s="6">
        <v>450.72</v>
      </c>
      <c r="I112" s="6">
        <v>918.17</v>
      </c>
      <c r="J112" s="8" t="s">
        <v>17</v>
      </c>
      <c r="K112" s="12">
        <v>0.11</v>
      </c>
      <c r="L112" s="8" t="s">
        <v>18</v>
      </c>
      <c r="M112" s="8" t="s">
        <v>19</v>
      </c>
      <c r="N112" s="10" t="s">
        <v>23</v>
      </c>
      <c r="O112" s="17">
        <f xml:space="preserve"> (Tabla1[[#This Row],[Unit_Price]] - Tabla1[[#This Row],[Unit_Cost]] ) * Tabla1[[#This Row],[Quantity_Sold]]</f>
        <v>15425.849999999999</v>
      </c>
      <c r="P112" s="12">
        <f>Tabla1[[#This Row],[Profit]] / Tabla1[[#This Row],[Sales_Calculated]]</f>
        <v>0.50911051330363655</v>
      </c>
      <c r="Q112" s="20">
        <f xml:space="preserve"> Tabla1[[#This Row],[Unit_Price]] * Tabla1[[#This Row],[Quantity_Sold]]</f>
        <v>30299.609999999997</v>
      </c>
    </row>
    <row r="113" spans="1:17" x14ac:dyDescent="0.3">
      <c r="A113" s="2">
        <v>1088</v>
      </c>
      <c r="B113" s="1">
        <v>45196</v>
      </c>
      <c r="C113" s="8" t="s">
        <v>38</v>
      </c>
      <c r="D113" s="8" t="s">
        <v>15</v>
      </c>
      <c r="E113" s="6">
        <v>7106.44</v>
      </c>
      <c r="F113" s="2">
        <v>12</v>
      </c>
      <c r="G113" s="8" t="s">
        <v>29</v>
      </c>
      <c r="H113" s="6">
        <v>4389.24</v>
      </c>
      <c r="I113" s="6">
        <v>4856.2199999999903</v>
      </c>
      <c r="J113" s="8" t="s">
        <v>17</v>
      </c>
      <c r="K113" s="12">
        <v>0.15</v>
      </c>
      <c r="L113" s="8" t="s">
        <v>18</v>
      </c>
      <c r="M113" s="8" t="s">
        <v>22</v>
      </c>
      <c r="N113" s="10" t="s">
        <v>40</v>
      </c>
      <c r="O113" s="17">
        <f xml:space="preserve"> (Tabla1[[#This Row],[Unit_Price]] - Tabla1[[#This Row],[Unit_Cost]] ) * Tabla1[[#This Row],[Quantity_Sold]]</f>
        <v>5603.7599999998856</v>
      </c>
      <c r="P113" s="12">
        <f>Tabla1[[#This Row],[Profit]] / Tabla1[[#This Row],[Sales_Calculated]]</f>
        <v>9.6161211806712096E-2</v>
      </c>
      <c r="Q113" s="20">
        <f xml:space="preserve"> Tabla1[[#This Row],[Unit_Price]] * Tabla1[[#This Row],[Quantity_Sold]]</f>
        <v>58274.639999999883</v>
      </c>
    </row>
    <row r="114" spans="1:17" x14ac:dyDescent="0.3">
      <c r="A114" s="2">
        <v>1001</v>
      </c>
      <c r="B114" s="1">
        <v>45242</v>
      </c>
      <c r="C114" s="8" t="s">
        <v>42</v>
      </c>
      <c r="D114" s="8" t="s">
        <v>15</v>
      </c>
      <c r="E114" s="6">
        <v>715.81</v>
      </c>
      <c r="F114" s="2">
        <v>8</v>
      </c>
      <c r="G114" s="8" t="s">
        <v>35</v>
      </c>
      <c r="H114" s="6">
        <v>3657.91</v>
      </c>
      <c r="I114" s="6">
        <v>3729.27</v>
      </c>
      <c r="J114" s="8" t="s">
        <v>30</v>
      </c>
      <c r="K114" s="12">
        <v>0.09</v>
      </c>
      <c r="L114" s="8" t="s">
        <v>27</v>
      </c>
      <c r="M114" s="8" t="s">
        <v>22</v>
      </c>
      <c r="N114" s="10" t="s">
        <v>49</v>
      </c>
      <c r="O114" s="17">
        <f xml:space="preserve"> (Tabla1[[#This Row],[Unit_Price]] - Tabla1[[#This Row],[Unit_Cost]] ) * Tabla1[[#This Row],[Quantity_Sold]]</f>
        <v>570.88000000000102</v>
      </c>
      <c r="P114" s="12">
        <f>Tabla1[[#This Row],[Profit]] / Tabla1[[#This Row],[Sales_Calculated]]</f>
        <v>1.9135112233761603E-2</v>
      </c>
      <c r="Q114" s="20">
        <f xml:space="preserve"> Tabla1[[#This Row],[Unit_Price]] * Tabla1[[#This Row],[Quantity_Sold]]</f>
        <v>29834.16</v>
      </c>
    </row>
    <row r="115" spans="1:17" x14ac:dyDescent="0.3">
      <c r="A115" s="2">
        <v>1008</v>
      </c>
      <c r="B115" s="1">
        <v>45212</v>
      </c>
      <c r="C115" s="8" t="s">
        <v>38</v>
      </c>
      <c r="D115" s="8" t="s">
        <v>21</v>
      </c>
      <c r="E115" s="6">
        <v>1558.3</v>
      </c>
      <c r="F115" s="2">
        <v>24</v>
      </c>
      <c r="G115" s="8" t="s">
        <v>35</v>
      </c>
      <c r="H115" s="6">
        <v>1542.24</v>
      </c>
      <c r="I115" s="6">
        <v>1739.45</v>
      </c>
      <c r="J115" s="8" t="s">
        <v>17</v>
      </c>
      <c r="K115" s="12">
        <v>0.21</v>
      </c>
      <c r="L115" s="8" t="s">
        <v>27</v>
      </c>
      <c r="M115" s="8" t="s">
        <v>22</v>
      </c>
      <c r="N115" s="10" t="s">
        <v>41</v>
      </c>
      <c r="O115" s="17">
        <f xml:space="preserve"> (Tabla1[[#This Row],[Unit_Price]] - Tabla1[[#This Row],[Unit_Cost]] ) * Tabla1[[#This Row],[Quantity_Sold]]</f>
        <v>4733.0400000000009</v>
      </c>
      <c r="P115" s="12">
        <f>Tabla1[[#This Row],[Profit]] / Tabla1[[#This Row],[Sales_Calculated]]</f>
        <v>0.1133749173589353</v>
      </c>
      <c r="Q115" s="20">
        <f xml:space="preserve"> Tabla1[[#This Row],[Unit_Price]] * Tabla1[[#This Row],[Quantity_Sold]]</f>
        <v>41746.800000000003</v>
      </c>
    </row>
    <row r="116" spans="1:17" x14ac:dyDescent="0.3">
      <c r="A116" s="2">
        <v>1088</v>
      </c>
      <c r="B116" s="1">
        <v>45217</v>
      </c>
      <c r="C116" s="8" t="s">
        <v>38</v>
      </c>
      <c r="D116" s="8" t="s">
        <v>21</v>
      </c>
      <c r="E116" s="6">
        <v>177.63</v>
      </c>
      <c r="F116" s="2">
        <v>16</v>
      </c>
      <c r="G116" s="8" t="s">
        <v>16</v>
      </c>
      <c r="H116" s="6">
        <v>3016.9</v>
      </c>
      <c r="I116" s="6">
        <v>3040.73</v>
      </c>
      <c r="J116" s="8" t="s">
        <v>30</v>
      </c>
      <c r="K116" s="12">
        <v>0.26</v>
      </c>
      <c r="L116" s="8" t="s">
        <v>27</v>
      </c>
      <c r="M116" s="8" t="s">
        <v>22</v>
      </c>
      <c r="N116" s="10" t="s">
        <v>41</v>
      </c>
      <c r="O116" s="17">
        <f xml:space="preserve"> (Tabla1[[#This Row],[Unit_Price]] - Tabla1[[#This Row],[Unit_Cost]] ) * Tabla1[[#This Row],[Quantity_Sold]]</f>
        <v>381.27999999999884</v>
      </c>
      <c r="P116" s="12">
        <f>Tabla1[[#This Row],[Profit]] / Tabla1[[#This Row],[Sales_Calculated]]</f>
        <v>7.8369338941635478E-3</v>
      </c>
      <c r="Q116" s="20">
        <f xml:space="preserve"> Tabla1[[#This Row],[Unit_Price]] * Tabla1[[#This Row],[Quantity_Sold]]</f>
        <v>48651.68</v>
      </c>
    </row>
    <row r="117" spans="1:17" x14ac:dyDescent="0.3">
      <c r="A117" s="2">
        <v>1063</v>
      </c>
      <c r="B117" s="1">
        <v>45139</v>
      </c>
      <c r="C117" s="8" t="s">
        <v>14</v>
      </c>
      <c r="D117" s="8" t="s">
        <v>25</v>
      </c>
      <c r="E117" s="6">
        <v>6346.13</v>
      </c>
      <c r="F117" s="2">
        <v>4</v>
      </c>
      <c r="G117" s="8" t="s">
        <v>35</v>
      </c>
      <c r="H117" s="6">
        <v>1046.26</v>
      </c>
      <c r="I117" s="6">
        <v>1475.29</v>
      </c>
      <c r="J117" s="8" t="s">
        <v>17</v>
      </c>
      <c r="K117" s="12">
        <v>0.09</v>
      </c>
      <c r="L117" s="8" t="s">
        <v>27</v>
      </c>
      <c r="M117" s="8" t="s">
        <v>22</v>
      </c>
      <c r="N117" s="10" t="s">
        <v>32</v>
      </c>
      <c r="O117" s="17">
        <f xml:space="preserve"> (Tabla1[[#This Row],[Unit_Price]] - Tabla1[[#This Row],[Unit_Cost]] ) * Tabla1[[#This Row],[Quantity_Sold]]</f>
        <v>1716.12</v>
      </c>
      <c r="P117" s="12">
        <f>Tabla1[[#This Row],[Profit]] / Tabla1[[#This Row],[Sales_Calculated]]</f>
        <v>0.29081062028482535</v>
      </c>
      <c r="Q117" s="20">
        <f xml:space="preserve"> Tabla1[[#This Row],[Unit_Price]] * Tabla1[[#This Row],[Quantity_Sold]]</f>
        <v>5901.16</v>
      </c>
    </row>
    <row r="118" spans="1:17" x14ac:dyDescent="0.3">
      <c r="A118" s="2">
        <v>1011</v>
      </c>
      <c r="B118" s="1">
        <v>45091</v>
      </c>
      <c r="C118" s="8" t="s">
        <v>42</v>
      </c>
      <c r="D118" s="8" t="s">
        <v>25</v>
      </c>
      <c r="E118" s="6">
        <v>4531.97</v>
      </c>
      <c r="F118" s="2">
        <v>38</v>
      </c>
      <c r="G118" s="8" t="s">
        <v>16</v>
      </c>
      <c r="H118" s="6">
        <v>4456.67</v>
      </c>
      <c r="I118" s="6">
        <v>4642.46</v>
      </c>
      <c r="J118" s="8" t="s">
        <v>30</v>
      </c>
      <c r="K118" s="12">
        <v>0.06</v>
      </c>
      <c r="L118" s="8" t="s">
        <v>27</v>
      </c>
      <c r="M118" s="8" t="s">
        <v>19</v>
      </c>
      <c r="N118" s="10" t="s">
        <v>43</v>
      </c>
      <c r="O118" s="17">
        <f xml:space="preserve"> (Tabla1[[#This Row],[Unit_Price]] - Tabla1[[#This Row],[Unit_Cost]] ) * Tabla1[[#This Row],[Quantity_Sold]]</f>
        <v>7060.0199999999986</v>
      </c>
      <c r="P118" s="12">
        <f>Tabla1[[#This Row],[Profit]] / Tabla1[[#This Row],[Sales_Calculated]]</f>
        <v>4.0019730918521637E-2</v>
      </c>
      <c r="Q118" s="20">
        <f xml:space="preserve"> Tabla1[[#This Row],[Unit_Price]] * Tabla1[[#This Row],[Quantity_Sold]]</f>
        <v>176413.48</v>
      </c>
    </row>
    <row r="119" spans="1:17" x14ac:dyDescent="0.3">
      <c r="A119" s="2">
        <v>1081</v>
      </c>
      <c r="B119" s="1">
        <v>44931</v>
      </c>
      <c r="C119" s="8" t="s">
        <v>14</v>
      </c>
      <c r="D119" s="8" t="s">
        <v>25</v>
      </c>
      <c r="E119" s="6">
        <v>1429.32</v>
      </c>
      <c r="F119" s="2">
        <v>44</v>
      </c>
      <c r="G119" s="8" t="s">
        <v>26</v>
      </c>
      <c r="H119" s="6">
        <v>618.79</v>
      </c>
      <c r="I119" s="6">
        <v>938.04</v>
      </c>
      <c r="J119" s="8" t="s">
        <v>17</v>
      </c>
      <c r="K119" s="12">
        <v>0.03</v>
      </c>
      <c r="L119" s="8" t="s">
        <v>18</v>
      </c>
      <c r="M119" s="8" t="s">
        <v>19</v>
      </c>
      <c r="N119" s="10" t="s">
        <v>32</v>
      </c>
      <c r="O119" s="17">
        <f xml:space="preserve"> (Tabla1[[#This Row],[Unit_Price]] - Tabla1[[#This Row],[Unit_Cost]] ) * Tabla1[[#This Row],[Quantity_Sold]]</f>
        <v>14047</v>
      </c>
      <c r="P119" s="12">
        <f>Tabla1[[#This Row],[Profit]] / Tabla1[[#This Row],[Sales_Calculated]]</f>
        <v>0.34033729904908111</v>
      </c>
      <c r="Q119" s="20">
        <f xml:space="preserve"> Tabla1[[#This Row],[Unit_Price]] * Tabla1[[#This Row],[Quantity_Sold]]</f>
        <v>41273.759999999995</v>
      </c>
    </row>
    <row r="120" spans="1:17" x14ac:dyDescent="0.3">
      <c r="A120" s="2">
        <v>1008</v>
      </c>
      <c r="B120" s="1">
        <v>45265</v>
      </c>
      <c r="C120" s="8" t="s">
        <v>33</v>
      </c>
      <c r="D120" s="8" t="s">
        <v>34</v>
      </c>
      <c r="E120" s="6">
        <v>9583.5499999999993</v>
      </c>
      <c r="F120" s="2">
        <v>27</v>
      </c>
      <c r="G120" s="8" t="s">
        <v>35</v>
      </c>
      <c r="H120" s="6">
        <v>68.989999999999995</v>
      </c>
      <c r="I120" s="6">
        <v>429.29</v>
      </c>
      <c r="J120" s="8" t="s">
        <v>17</v>
      </c>
      <c r="K120" s="12">
        <v>0.18</v>
      </c>
      <c r="L120" s="8" t="s">
        <v>31</v>
      </c>
      <c r="M120" s="8" t="s">
        <v>22</v>
      </c>
      <c r="N120" s="10" t="s">
        <v>36</v>
      </c>
      <c r="O120" s="17">
        <f xml:space="preserve"> (Tabla1[[#This Row],[Unit_Price]] - Tabla1[[#This Row],[Unit_Cost]] ) * Tabla1[[#This Row],[Quantity_Sold]]</f>
        <v>9728.1</v>
      </c>
      <c r="P120" s="12">
        <f>Tabla1[[#This Row],[Profit]] / Tabla1[[#This Row],[Sales_Calculated]]</f>
        <v>0.83929278576253818</v>
      </c>
      <c r="Q120" s="20">
        <f xml:space="preserve"> Tabla1[[#This Row],[Unit_Price]] * Tabla1[[#This Row],[Quantity_Sold]]</f>
        <v>11590.83</v>
      </c>
    </row>
    <row r="121" spans="1:17" x14ac:dyDescent="0.3">
      <c r="A121" s="2">
        <v>1035</v>
      </c>
      <c r="B121" s="1">
        <v>45004</v>
      </c>
      <c r="C121" s="8" t="s">
        <v>14</v>
      </c>
      <c r="D121" s="8" t="s">
        <v>25</v>
      </c>
      <c r="E121" s="6">
        <v>5343.63</v>
      </c>
      <c r="F121" s="2">
        <v>9</v>
      </c>
      <c r="G121" s="8" t="s">
        <v>29</v>
      </c>
      <c r="H121" s="6">
        <v>2534.94</v>
      </c>
      <c r="I121" s="6">
        <v>2755.56</v>
      </c>
      <c r="J121" s="8" t="s">
        <v>17</v>
      </c>
      <c r="K121" s="12">
        <v>0.13</v>
      </c>
      <c r="L121" s="8" t="s">
        <v>31</v>
      </c>
      <c r="M121" s="8" t="s">
        <v>22</v>
      </c>
      <c r="N121" s="10" t="s">
        <v>32</v>
      </c>
      <c r="O121" s="17">
        <f xml:space="preserve"> (Tabla1[[#This Row],[Unit_Price]] - Tabla1[[#This Row],[Unit_Cost]] ) * Tabla1[[#This Row],[Quantity_Sold]]</f>
        <v>1985.579999999999</v>
      </c>
      <c r="P121" s="12">
        <f>Tabla1[[#This Row],[Profit]] / Tabla1[[#This Row],[Sales_Calculated]]</f>
        <v>8.0063580542611992E-2</v>
      </c>
      <c r="Q121" s="20">
        <f xml:space="preserve"> Tabla1[[#This Row],[Unit_Price]] * Tabla1[[#This Row],[Quantity_Sold]]</f>
        <v>24800.04</v>
      </c>
    </row>
    <row r="122" spans="1:17" x14ac:dyDescent="0.3">
      <c r="A122" s="2">
        <v>1035</v>
      </c>
      <c r="B122" s="1">
        <v>44988</v>
      </c>
      <c r="C122" s="8" t="s">
        <v>14</v>
      </c>
      <c r="D122" s="8" t="s">
        <v>21</v>
      </c>
      <c r="E122" s="6">
        <v>2494.7399999999998</v>
      </c>
      <c r="F122" s="2">
        <v>47</v>
      </c>
      <c r="G122" s="8" t="s">
        <v>35</v>
      </c>
      <c r="H122" s="6">
        <v>2936.48</v>
      </c>
      <c r="I122" s="6">
        <v>3096.64</v>
      </c>
      <c r="J122" s="8" t="s">
        <v>30</v>
      </c>
      <c r="K122" s="12">
        <v>0.06</v>
      </c>
      <c r="L122" s="8" t="s">
        <v>27</v>
      </c>
      <c r="M122" s="8" t="s">
        <v>19</v>
      </c>
      <c r="N122" s="10" t="s">
        <v>23</v>
      </c>
      <c r="O122" s="17">
        <f xml:space="preserve"> (Tabla1[[#This Row],[Unit_Price]] - Tabla1[[#This Row],[Unit_Cost]] ) * Tabla1[[#This Row],[Quantity_Sold]]</f>
        <v>7527.5199999999932</v>
      </c>
      <c r="P122" s="12">
        <f>Tabla1[[#This Row],[Profit]] / Tabla1[[#This Row],[Sales_Calculated]]</f>
        <v>5.1720574558230814E-2</v>
      </c>
      <c r="Q122" s="20">
        <f xml:space="preserve"> Tabla1[[#This Row],[Unit_Price]] * Tabla1[[#This Row],[Quantity_Sold]]</f>
        <v>145542.07999999999</v>
      </c>
    </row>
    <row r="123" spans="1:17" x14ac:dyDescent="0.3">
      <c r="A123" s="2">
        <v>1033</v>
      </c>
      <c r="B123" s="1">
        <v>45058</v>
      </c>
      <c r="C123" s="8" t="s">
        <v>14</v>
      </c>
      <c r="D123" s="8" t="s">
        <v>15</v>
      </c>
      <c r="E123" s="6">
        <v>5055.9799999999996</v>
      </c>
      <c r="F123" s="2">
        <v>16</v>
      </c>
      <c r="G123" s="8" t="s">
        <v>16</v>
      </c>
      <c r="H123" s="6">
        <v>2915.88</v>
      </c>
      <c r="I123" s="6">
        <v>3397.36</v>
      </c>
      <c r="J123" s="8" t="s">
        <v>30</v>
      </c>
      <c r="K123" s="12">
        <v>0.2</v>
      </c>
      <c r="L123" s="8" t="s">
        <v>27</v>
      </c>
      <c r="M123" s="8" t="s">
        <v>22</v>
      </c>
      <c r="N123" s="10" t="s">
        <v>20</v>
      </c>
      <c r="O123" s="17">
        <f xml:space="preserve"> (Tabla1[[#This Row],[Unit_Price]] - Tabla1[[#This Row],[Unit_Cost]] ) * Tabla1[[#This Row],[Quantity_Sold]]</f>
        <v>7703.68</v>
      </c>
      <c r="P123" s="12">
        <f>Tabla1[[#This Row],[Profit]] / Tabla1[[#This Row],[Sales_Calculated]]</f>
        <v>0.14172180752113406</v>
      </c>
      <c r="Q123" s="20">
        <f xml:space="preserve"> Tabla1[[#This Row],[Unit_Price]] * Tabla1[[#This Row],[Quantity_Sold]]</f>
        <v>54357.760000000002</v>
      </c>
    </row>
    <row r="124" spans="1:17" x14ac:dyDescent="0.3">
      <c r="A124" s="2">
        <v>1005</v>
      </c>
      <c r="B124" s="1">
        <v>45015</v>
      </c>
      <c r="C124" s="8" t="s">
        <v>42</v>
      </c>
      <c r="D124" s="8" t="s">
        <v>34</v>
      </c>
      <c r="E124" s="6">
        <v>6828.24</v>
      </c>
      <c r="F124" s="2">
        <v>12</v>
      </c>
      <c r="G124" s="8" t="s">
        <v>35</v>
      </c>
      <c r="H124" s="6">
        <v>319.83</v>
      </c>
      <c r="I124" s="6">
        <v>802.43</v>
      </c>
      <c r="J124" s="8" t="s">
        <v>30</v>
      </c>
      <c r="K124" s="12">
        <v>0.04</v>
      </c>
      <c r="L124" s="8" t="s">
        <v>31</v>
      </c>
      <c r="M124" s="8" t="s">
        <v>22</v>
      </c>
      <c r="N124" s="10" t="s">
        <v>52</v>
      </c>
      <c r="O124" s="17">
        <f xml:space="preserve"> (Tabla1[[#This Row],[Unit_Price]] - Tabla1[[#This Row],[Unit_Cost]] ) * Tabla1[[#This Row],[Quantity_Sold]]</f>
        <v>5791.2</v>
      </c>
      <c r="P124" s="12">
        <f>Tabla1[[#This Row],[Profit]] / Tabla1[[#This Row],[Sales_Calculated]]</f>
        <v>0.60142317709956006</v>
      </c>
      <c r="Q124" s="20">
        <f xml:space="preserve"> Tabla1[[#This Row],[Unit_Price]] * Tabla1[[#This Row],[Quantity_Sold]]</f>
        <v>9629.16</v>
      </c>
    </row>
    <row r="125" spans="1:17" x14ac:dyDescent="0.3">
      <c r="A125" s="2">
        <v>1041</v>
      </c>
      <c r="B125" s="1">
        <v>45163</v>
      </c>
      <c r="C125" s="8" t="s">
        <v>14</v>
      </c>
      <c r="D125" s="8" t="s">
        <v>25</v>
      </c>
      <c r="E125" s="6">
        <v>854.77</v>
      </c>
      <c r="F125" s="2">
        <v>31</v>
      </c>
      <c r="G125" s="8" t="s">
        <v>26</v>
      </c>
      <c r="H125" s="6">
        <v>1604.52</v>
      </c>
      <c r="I125" s="6">
        <v>1756.34</v>
      </c>
      <c r="J125" s="8" t="s">
        <v>17</v>
      </c>
      <c r="K125" s="12">
        <v>0.17</v>
      </c>
      <c r="L125" s="8" t="s">
        <v>18</v>
      </c>
      <c r="M125" s="8" t="s">
        <v>22</v>
      </c>
      <c r="N125" s="10" t="s">
        <v>32</v>
      </c>
      <c r="O125" s="17">
        <f xml:space="preserve"> (Tabla1[[#This Row],[Unit_Price]] - Tabla1[[#This Row],[Unit_Cost]] ) * Tabla1[[#This Row],[Quantity_Sold]]</f>
        <v>4706.4199999999983</v>
      </c>
      <c r="P125" s="12">
        <f>Tabla1[[#This Row],[Profit]] / Tabla1[[#This Row],[Sales_Calculated]]</f>
        <v>8.6441121878451752E-2</v>
      </c>
      <c r="Q125" s="20">
        <f xml:space="preserve"> Tabla1[[#This Row],[Unit_Price]] * Tabla1[[#This Row],[Quantity_Sold]]</f>
        <v>54446.54</v>
      </c>
    </row>
    <row r="126" spans="1:17" x14ac:dyDescent="0.3">
      <c r="A126" s="2">
        <v>1028</v>
      </c>
      <c r="B126" s="1">
        <v>44968</v>
      </c>
      <c r="C126" s="8" t="s">
        <v>42</v>
      </c>
      <c r="D126" s="8" t="s">
        <v>34</v>
      </c>
      <c r="E126" s="6">
        <v>2819.57</v>
      </c>
      <c r="F126" s="2">
        <v>24</v>
      </c>
      <c r="G126" s="8" t="s">
        <v>29</v>
      </c>
      <c r="H126" s="6">
        <v>2521.0300000000002</v>
      </c>
      <c r="I126" s="6">
        <v>2766.05</v>
      </c>
      <c r="J126" s="8" t="s">
        <v>17</v>
      </c>
      <c r="K126" s="12">
        <v>0.16</v>
      </c>
      <c r="L126" s="8" t="s">
        <v>27</v>
      </c>
      <c r="M126" s="8" t="s">
        <v>22</v>
      </c>
      <c r="N126" s="10" t="s">
        <v>52</v>
      </c>
      <c r="O126" s="17">
        <f xml:space="preserve"> (Tabla1[[#This Row],[Unit_Price]] - Tabla1[[#This Row],[Unit_Cost]] ) * Tabla1[[#This Row],[Quantity_Sold]]</f>
        <v>5880.48</v>
      </c>
      <c r="P126" s="12">
        <f>Tabla1[[#This Row],[Profit]] / Tabla1[[#This Row],[Sales_Calculated]]</f>
        <v>8.8581189783264916E-2</v>
      </c>
      <c r="Q126" s="20">
        <f xml:space="preserve"> Tabla1[[#This Row],[Unit_Price]] * Tabla1[[#This Row],[Quantity_Sold]]</f>
        <v>66385.200000000012</v>
      </c>
    </row>
    <row r="127" spans="1:17" x14ac:dyDescent="0.3">
      <c r="A127" s="2">
        <v>1007</v>
      </c>
      <c r="B127" s="1">
        <v>45015</v>
      </c>
      <c r="C127" s="8" t="s">
        <v>24</v>
      </c>
      <c r="D127" s="8" t="s">
        <v>34</v>
      </c>
      <c r="E127" s="6">
        <v>8088.96</v>
      </c>
      <c r="F127" s="2">
        <v>14</v>
      </c>
      <c r="G127" s="8" t="s">
        <v>16</v>
      </c>
      <c r="H127" s="6">
        <v>1122.07</v>
      </c>
      <c r="I127" s="6">
        <v>1608.76</v>
      </c>
      <c r="J127" s="8" t="s">
        <v>30</v>
      </c>
      <c r="K127" s="12">
        <v>0.22</v>
      </c>
      <c r="L127" s="8" t="s">
        <v>18</v>
      </c>
      <c r="M127" s="8" t="s">
        <v>22</v>
      </c>
      <c r="N127" s="10" t="s">
        <v>50</v>
      </c>
      <c r="O127" s="17">
        <f xml:space="preserve"> (Tabla1[[#This Row],[Unit_Price]] - Tabla1[[#This Row],[Unit_Cost]] ) * Tabla1[[#This Row],[Quantity_Sold]]</f>
        <v>6813.6600000000008</v>
      </c>
      <c r="P127" s="12">
        <f>Tabla1[[#This Row],[Profit]] / Tabla1[[#This Row],[Sales_Calculated]]</f>
        <v>0.30252492602998587</v>
      </c>
      <c r="Q127" s="20">
        <f xml:space="preserve"> Tabla1[[#This Row],[Unit_Price]] * Tabla1[[#This Row],[Quantity_Sold]]</f>
        <v>22522.639999999999</v>
      </c>
    </row>
    <row r="128" spans="1:17" x14ac:dyDescent="0.3">
      <c r="A128" s="2">
        <v>1073</v>
      </c>
      <c r="B128" s="1">
        <v>45222</v>
      </c>
      <c r="C128" s="8" t="s">
        <v>33</v>
      </c>
      <c r="D128" s="8" t="s">
        <v>25</v>
      </c>
      <c r="E128" s="6">
        <v>4650.68</v>
      </c>
      <c r="F128" s="2">
        <v>45</v>
      </c>
      <c r="G128" s="8" t="s">
        <v>29</v>
      </c>
      <c r="H128" s="6">
        <v>4369.5</v>
      </c>
      <c r="I128" s="6">
        <v>4381.8900000000003</v>
      </c>
      <c r="J128" s="8" t="s">
        <v>17</v>
      </c>
      <c r="K128" s="12">
        <v>0.02</v>
      </c>
      <c r="L128" s="8" t="s">
        <v>31</v>
      </c>
      <c r="M128" s="8" t="s">
        <v>22</v>
      </c>
      <c r="N128" s="10" t="s">
        <v>44</v>
      </c>
      <c r="O128" s="17">
        <f xml:space="preserve"> (Tabla1[[#This Row],[Unit_Price]] - Tabla1[[#This Row],[Unit_Cost]] ) * Tabla1[[#This Row],[Quantity_Sold]]</f>
        <v>557.55000000001473</v>
      </c>
      <c r="P128" s="12">
        <f>Tabla1[[#This Row],[Profit]] / Tabla1[[#This Row],[Sales_Calculated]]</f>
        <v>2.8275470173829845E-3</v>
      </c>
      <c r="Q128" s="20">
        <f xml:space="preserve"> Tabla1[[#This Row],[Unit_Price]] * Tabla1[[#This Row],[Quantity_Sold]]</f>
        <v>197185.05000000002</v>
      </c>
    </row>
    <row r="129" spans="1:17" x14ac:dyDescent="0.3">
      <c r="A129" s="2">
        <v>1072</v>
      </c>
      <c r="B129" s="1">
        <v>45254</v>
      </c>
      <c r="C129" s="8" t="s">
        <v>42</v>
      </c>
      <c r="D129" s="8" t="s">
        <v>34</v>
      </c>
      <c r="E129" s="6">
        <v>5511.11</v>
      </c>
      <c r="F129" s="2">
        <v>25</v>
      </c>
      <c r="G129" s="8" t="s">
        <v>29</v>
      </c>
      <c r="H129" s="6">
        <v>481.19</v>
      </c>
      <c r="I129" s="6">
        <v>693.4</v>
      </c>
      <c r="J129" s="8" t="s">
        <v>30</v>
      </c>
      <c r="K129" s="12">
        <v>0.27</v>
      </c>
      <c r="L129" s="8" t="s">
        <v>31</v>
      </c>
      <c r="M129" s="8" t="s">
        <v>22</v>
      </c>
      <c r="N129" s="10" t="s">
        <v>52</v>
      </c>
      <c r="O129" s="17">
        <f xml:space="preserve"> (Tabla1[[#This Row],[Unit_Price]] - Tabla1[[#This Row],[Unit_Cost]] ) * Tabla1[[#This Row],[Quantity_Sold]]</f>
        <v>5305.2499999999991</v>
      </c>
      <c r="P129" s="12">
        <f>Tabla1[[#This Row],[Profit]] / Tabla1[[#This Row],[Sales_Calculated]]</f>
        <v>0.30604268820305736</v>
      </c>
      <c r="Q129" s="20">
        <f xml:space="preserve"> Tabla1[[#This Row],[Unit_Price]] * Tabla1[[#This Row],[Quantity_Sold]]</f>
        <v>17335</v>
      </c>
    </row>
    <row r="130" spans="1:17" x14ac:dyDescent="0.3">
      <c r="A130" s="2">
        <v>1012</v>
      </c>
      <c r="B130" s="1">
        <v>45221</v>
      </c>
      <c r="C130" s="8" t="s">
        <v>24</v>
      </c>
      <c r="D130" s="8" t="s">
        <v>15</v>
      </c>
      <c r="E130" s="6">
        <v>4384.88</v>
      </c>
      <c r="F130" s="2">
        <v>34</v>
      </c>
      <c r="G130" s="8" t="s">
        <v>16</v>
      </c>
      <c r="H130" s="6">
        <v>2462.5500000000002</v>
      </c>
      <c r="I130" s="6">
        <v>2521.77</v>
      </c>
      <c r="J130" s="8" t="s">
        <v>30</v>
      </c>
      <c r="K130" s="12">
        <v>0.21</v>
      </c>
      <c r="L130" s="8" t="s">
        <v>27</v>
      </c>
      <c r="M130" s="8" t="s">
        <v>22</v>
      </c>
      <c r="N130" s="10" t="s">
        <v>45</v>
      </c>
      <c r="O130" s="17">
        <f xml:space="preserve"> (Tabla1[[#This Row],[Unit_Price]] - Tabla1[[#This Row],[Unit_Cost]] ) * Tabla1[[#This Row],[Quantity_Sold]]</f>
        <v>2013.4799999999932</v>
      </c>
      <c r="P130" s="12">
        <f>Tabla1[[#This Row],[Profit]] / Tabla1[[#This Row],[Sales_Calculated]]</f>
        <v>2.3483505632948209E-2</v>
      </c>
      <c r="Q130" s="20">
        <f xml:space="preserve"> Tabla1[[#This Row],[Unit_Price]] * Tabla1[[#This Row],[Quantity_Sold]]</f>
        <v>85740.18</v>
      </c>
    </row>
    <row r="131" spans="1:17" x14ac:dyDescent="0.3">
      <c r="A131" s="2">
        <v>1034</v>
      </c>
      <c r="B131" s="1">
        <v>45030</v>
      </c>
      <c r="C131" s="8" t="s">
        <v>42</v>
      </c>
      <c r="D131" s="8" t="s">
        <v>21</v>
      </c>
      <c r="E131" s="6">
        <v>534.61</v>
      </c>
      <c r="F131" s="2">
        <v>3</v>
      </c>
      <c r="G131" s="8" t="s">
        <v>29</v>
      </c>
      <c r="H131" s="6">
        <v>3472.51</v>
      </c>
      <c r="I131" s="6">
        <v>3732</v>
      </c>
      <c r="J131" s="8" t="s">
        <v>30</v>
      </c>
      <c r="K131" s="12">
        <v>0.06</v>
      </c>
      <c r="L131" s="8" t="s">
        <v>18</v>
      </c>
      <c r="M131" s="8" t="s">
        <v>19</v>
      </c>
      <c r="N131" s="10" t="s">
        <v>51</v>
      </c>
      <c r="O131" s="17">
        <f xml:space="preserve"> (Tabla1[[#This Row],[Unit_Price]] - Tabla1[[#This Row],[Unit_Cost]] ) * Tabla1[[#This Row],[Quantity_Sold]]</f>
        <v>778.46999999999935</v>
      </c>
      <c r="P131" s="12">
        <f>Tabla1[[#This Row],[Profit]] / Tabla1[[#This Row],[Sales_Calculated]]</f>
        <v>6.953108252947475E-2</v>
      </c>
      <c r="Q131" s="20">
        <f xml:space="preserve"> Tabla1[[#This Row],[Unit_Price]] * Tabla1[[#This Row],[Quantity_Sold]]</f>
        <v>11196</v>
      </c>
    </row>
    <row r="132" spans="1:17" x14ac:dyDescent="0.3">
      <c r="A132" s="2">
        <v>1033</v>
      </c>
      <c r="B132" s="1">
        <v>44940</v>
      </c>
      <c r="C132" s="8" t="s">
        <v>42</v>
      </c>
      <c r="D132" s="8" t="s">
        <v>21</v>
      </c>
      <c r="E132" s="6">
        <v>1740.92</v>
      </c>
      <c r="F132" s="2">
        <v>24</v>
      </c>
      <c r="G132" s="8" t="s">
        <v>29</v>
      </c>
      <c r="H132" s="6">
        <v>1345.67</v>
      </c>
      <c r="I132" s="6">
        <v>1367.76</v>
      </c>
      <c r="J132" s="8" t="s">
        <v>30</v>
      </c>
      <c r="K132" s="12">
        <v>0.06</v>
      </c>
      <c r="L132" s="8" t="s">
        <v>27</v>
      </c>
      <c r="M132" s="8" t="s">
        <v>19</v>
      </c>
      <c r="N132" s="10" t="s">
        <v>51</v>
      </c>
      <c r="O132" s="17">
        <f xml:space="preserve"> (Tabla1[[#This Row],[Unit_Price]] - Tabla1[[#This Row],[Unit_Cost]] ) * Tabla1[[#This Row],[Quantity_Sold]]</f>
        <v>530.15999999999804</v>
      </c>
      <c r="P132" s="12">
        <f>Tabla1[[#This Row],[Profit]] / Tabla1[[#This Row],[Sales_Calculated]]</f>
        <v>1.6150494238755277E-2</v>
      </c>
      <c r="Q132" s="20">
        <f xml:space="preserve"> Tabla1[[#This Row],[Unit_Price]] * Tabla1[[#This Row],[Quantity_Sold]]</f>
        <v>32826.239999999998</v>
      </c>
    </row>
    <row r="133" spans="1:17" x14ac:dyDescent="0.3">
      <c r="A133" s="2">
        <v>1048</v>
      </c>
      <c r="B133" s="1">
        <v>45214</v>
      </c>
      <c r="C133" s="8" t="s">
        <v>33</v>
      </c>
      <c r="D133" s="8" t="s">
        <v>15</v>
      </c>
      <c r="E133" s="6">
        <v>4510.8599999999997</v>
      </c>
      <c r="F133" s="2">
        <v>42</v>
      </c>
      <c r="G133" s="8" t="s">
        <v>35</v>
      </c>
      <c r="H133" s="6">
        <v>3139.99</v>
      </c>
      <c r="I133" s="6">
        <v>3349.37</v>
      </c>
      <c r="J133" s="8" t="s">
        <v>17</v>
      </c>
      <c r="K133" s="12">
        <v>0.13</v>
      </c>
      <c r="L133" s="8" t="s">
        <v>31</v>
      </c>
      <c r="M133" s="8" t="s">
        <v>22</v>
      </c>
      <c r="N133" s="10" t="s">
        <v>53</v>
      </c>
      <c r="O133" s="17">
        <f xml:space="preserve"> (Tabla1[[#This Row],[Unit_Price]] - Tabla1[[#This Row],[Unit_Cost]] ) * Tabla1[[#This Row],[Quantity_Sold]]</f>
        <v>8793.9600000000046</v>
      </c>
      <c r="P133" s="12">
        <f>Tabla1[[#This Row],[Profit]] / Tabla1[[#This Row],[Sales_Calculated]]</f>
        <v>6.2513248760214635E-2</v>
      </c>
      <c r="Q133" s="20">
        <f xml:space="preserve"> Tabla1[[#This Row],[Unit_Price]] * Tabla1[[#This Row],[Quantity_Sold]]</f>
        <v>140673.54</v>
      </c>
    </row>
    <row r="134" spans="1:17" x14ac:dyDescent="0.3">
      <c r="A134" s="2">
        <v>1023</v>
      </c>
      <c r="B134" s="1">
        <v>45105</v>
      </c>
      <c r="C134" s="8" t="s">
        <v>38</v>
      </c>
      <c r="D134" s="8" t="s">
        <v>34</v>
      </c>
      <c r="E134" s="6">
        <v>2170.94</v>
      </c>
      <c r="F134" s="2">
        <v>9</v>
      </c>
      <c r="G134" s="8" t="s">
        <v>29</v>
      </c>
      <c r="H134" s="6">
        <v>4155.46</v>
      </c>
      <c r="I134" s="6">
        <v>4273.6000000000004</v>
      </c>
      <c r="J134" s="8" t="s">
        <v>17</v>
      </c>
      <c r="K134" s="12">
        <v>0.25</v>
      </c>
      <c r="L134" s="8" t="s">
        <v>18</v>
      </c>
      <c r="M134" s="8" t="s">
        <v>22</v>
      </c>
      <c r="N134" s="10" t="s">
        <v>48</v>
      </c>
      <c r="O134" s="17">
        <f xml:space="preserve"> (Tabla1[[#This Row],[Unit_Price]] - Tabla1[[#This Row],[Unit_Cost]] ) * Tabla1[[#This Row],[Quantity_Sold]]</f>
        <v>1063.2600000000029</v>
      </c>
      <c r="P134" s="12">
        <f>Tabla1[[#This Row],[Profit]] / Tabla1[[#This Row],[Sales_Calculated]]</f>
        <v>2.76441407712468E-2</v>
      </c>
      <c r="Q134" s="20">
        <f xml:space="preserve"> Tabla1[[#This Row],[Unit_Price]] * Tabla1[[#This Row],[Quantity_Sold]]</f>
        <v>38462.400000000001</v>
      </c>
    </row>
    <row r="135" spans="1:17" x14ac:dyDescent="0.3">
      <c r="A135" s="2">
        <v>1062</v>
      </c>
      <c r="B135" s="1">
        <v>45051</v>
      </c>
      <c r="C135" s="8" t="s">
        <v>38</v>
      </c>
      <c r="D135" s="8" t="s">
        <v>25</v>
      </c>
      <c r="E135" s="6">
        <v>594.79</v>
      </c>
      <c r="F135" s="2">
        <v>26</v>
      </c>
      <c r="G135" s="8" t="s">
        <v>29</v>
      </c>
      <c r="H135" s="6">
        <v>992.17</v>
      </c>
      <c r="I135" s="6">
        <v>1263.49</v>
      </c>
      <c r="J135" s="8" t="s">
        <v>17</v>
      </c>
      <c r="K135" s="12">
        <v>0.25</v>
      </c>
      <c r="L135" s="8" t="s">
        <v>27</v>
      </c>
      <c r="M135" s="8" t="s">
        <v>22</v>
      </c>
      <c r="N135" s="10" t="s">
        <v>39</v>
      </c>
      <c r="O135" s="17">
        <f xml:space="preserve"> (Tabla1[[#This Row],[Unit_Price]] - Tabla1[[#This Row],[Unit_Cost]] ) * Tabla1[[#This Row],[Quantity_Sold]]</f>
        <v>7054.3200000000015</v>
      </c>
      <c r="P135" s="12">
        <f>Tabla1[[#This Row],[Profit]] / Tabla1[[#This Row],[Sales_Calculated]]</f>
        <v>0.21473854165842238</v>
      </c>
      <c r="Q135" s="20">
        <f xml:space="preserve"> Tabla1[[#This Row],[Unit_Price]] * Tabla1[[#This Row],[Quantity_Sold]]</f>
        <v>32850.74</v>
      </c>
    </row>
    <row r="136" spans="1:17" x14ac:dyDescent="0.3">
      <c r="A136" s="2">
        <v>1088</v>
      </c>
      <c r="B136" s="1">
        <v>45279</v>
      </c>
      <c r="C136" s="8" t="s">
        <v>42</v>
      </c>
      <c r="D136" s="8" t="s">
        <v>34</v>
      </c>
      <c r="E136" s="6">
        <v>8452.1299999999992</v>
      </c>
      <c r="F136" s="2">
        <v>20</v>
      </c>
      <c r="G136" s="8" t="s">
        <v>29</v>
      </c>
      <c r="H136" s="6">
        <v>4590.24</v>
      </c>
      <c r="I136" s="6">
        <v>5088.28</v>
      </c>
      <c r="J136" s="8" t="s">
        <v>30</v>
      </c>
      <c r="K136" s="12">
        <v>0.16</v>
      </c>
      <c r="L136" s="8" t="s">
        <v>27</v>
      </c>
      <c r="M136" s="8" t="s">
        <v>22</v>
      </c>
      <c r="N136" s="10" t="s">
        <v>52</v>
      </c>
      <c r="O136" s="17">
        <f xml:space="preserve"> (Tabla1[[#This Row],[Unit_Price]] - Tabla1[[#This Row],[Unit_Cost]] ) * Tabla1[[#This Row],[Quantity_Sold]]</f>
        <v>9960.7999999999993</v>
      </c>
      <c r="P136" s="12">
        <f>Tabla1[[#This Row],[Profit]] / Tabla1[[#This Row],[Sales_Calculated]]</f>
        <v>9.7879833656952839E-2</v>
      </c>
      <c r="Q136" s="20">
        <f xml:space="preserve"> Tabla1[[#This Row],[Unit_Price]] * Tabla1[[#This Row],[Quantity_Sold]]</f>
        <v>101765.59999999999</v>
      </c>
    </row>
    <row r="137" spans="1:17" x14ac:dyDescent="0.3">
      <c r="A137" s="2">
        <v>1037</v>
      </c>
      <c r="B137" s="1">
        <v>44949</v>
      </c>
      <c r="C137" s="8" t="s">
        <v>14</v>
      </c>
      <c r="D137" s="8" t="s">
        <v>15</v>
      </c>
      <c r="E137" s="6">
        <v>9813.81</v>
      </c>
      <c r="F137" s="2">
        <v>40</v>
      </c>
      <c r="G137" s="8" t="s">
        <v>29</v>
      </c>
      <c r="H137" s="6">
        <v>2790.11</v>
      </c>
      <c r="I137" s="6">
        <v>3192.37</v>
      </c>
      <c r="J137" s="8" t="s">
        <v>17</v>
      </c>
      <c r="K137" s="12">
        <v>0.26</v>
      </c>
      <c r="L137" s="8" t="s">
        <v>27</v>
      </c>
      <c r="M137" s="8" t="s">
        <v>19</v>
      </c>
      <c r="N137" s="10" t="s">
        <v>20</v>
      </c>
      <c r="O137" s="17">
        <f xml:space="preserve"> (Tabla1[[#This Row],[Unit_Price]] - Tabla1[[#This Row],[Unit_Cost]] ) * Tabla1[[#This Row],[Quantity_Sold]]</f>
        <v>16090.399999999991</v>
      </c>
      <c r="P137" s="12">
        <f>Tabla1[[#This Row],[Profit]] / Tabla1[[#This Row],[Sales_Calculated]]</f>
        <v>0.12600669721868074</v>
      </c>
      <c r="Q137" s="20">
        <f xml:space="preserve"> Tabla1[[#This Row],[Unit_Price]] * Tabla1[[#This Row],[Quantity_Sold]]</f>
        <v>127694.79999999999</v>
      </c>
    </row>
    <row r="138" spans="1:17" x14ac:dyDescent="0.3">
      <c r="A138" s="2">
        <v>1099</v>
      </c>
      <c r="B138" s="1">
        <v>44989</v>
      </c>
      <c r="C138" s="8" t="s">
        <v>24</v>
      </c>
      <c r="D138" s="8" t="s">
        <v>34</v>
      </c>
      <c r="E138" s="6">
        <v>7952.11</v>
      </c>
      <c r="F138" s="2">
        <v>10</v>
      </c>
      <c r="G138" s="8" t="s">
        <v>16</v>
      </c>
      <c r="H138" s="6">
        <v>1531.2</v>
      </c>
      <c r="I138" s="6">
        <v>1955.56</v>
      </c>
      <c r="J138" s="8" t="s">
        <v>30</v>
      </c>
      <c r="K138" s="12">
        <v>0</v>
      </c>
      <c r="L138" s="8" t="s">
        <v>31</v>
      </c>
      <c r="M138" s="8" t="s">
        <v>19</v>
      </c>
      <c r="N138" s="10" t="s">
        <v>50</v>
      </c>
      <c r="O138" s="17">
        <f xml:space="preserve"> (Tabla1[[#This Row],[Unit_Price]] - Tabla1[[#This Row],[Unit_Cost]] ) * Tabla1[[#This Row],[Quantity_Sold]]</f>
        <v>4243.5999999999985</v>
      </c>
      <c r="P138" s="12">
        <f>Tabla1[[#This Row],[Profit]] / Tabla1[[#This Row],[Sales_Calculated]]</f>
        <v>0.21700177954141006</v>
      </c>
      <c r="Q138" s="20">
        <f xml:space="preserve"> Tabla1[[#This Row],[Unit_Price]] * Tabla1[[#This Row],[Quantity_Sold]]</f>
        <v>19555.599999999999</v>
      </c>
    </row>
    <row r="139" spans="1:17" x14ac:dyDescent="0.3">
      <c r="A139" s="2">
        <v>1044</v>
      </c>
      <c r="B139" s="1">
        <v>45069</v>
      </c>
      <c r="C139" s="8" t="s">
        <v>14</v>
      </c>
      <c r="D139" s="8" t="s">
        <v>21</v>
      </c>
      <c r="E139" s="6">
        <v>8552.4699999999993</v>
      </c>
      <c r="F139" s="2">
        <v>19</v>
      </c>
      <c r="G139" s="8" t="s">
        <v>26</v>
      </c>
      <c r="H139" s="6">
        <v>2182.75</v>
      </c>
      <c r="I139" s="6">
        <v>2504.0299999999902</v>
      </c>
      <c r="J139" s="8" t="s">
        <v>30</v>
      </c>
      <c r="K139" s="12">
        <v>0.01</v>
      </c>
      <c r="L139" s="8" t="s">
        <v>27</v>
      </c>
      <c r="M139" s="8" t="s">
        <v>19</v>
      </c>
      <c r="N139" s="10" t="s">
        <v>23</v>
      </c>
      <c r="O139" s="17">
        <f xml:space="preserve"> (Tabla1[[#This Row],[Unit_Price]] - Tabla1[[#This Row],[Unit_Cost]] ) * Tabla1[[#This Row],[Quantity_Sold]]</f>
        <v>6104.3199999998142</v>
      </c>
      <c r="P139" s="12">
        <f>Tabla1[[#This Row],[Profit]] / Tabla1[[#This Row],[Sales_Calculated]]</f>
        <v>0.12830517206263164</v>
      </c>
      <c r="Q139" s="20">
        <f xml:space="preserve"> Tabla1[[#This Row],[Unit_Price]] * Tabla1[[#This Row],[Quantity_Sold]]</f>
        <v>47576.569999999811</v>
      </c>
    </row>
    <row r="140" spans="1:17" x14ac:dyDescent="0.3">
      <c r="A140" s="2">
        <v>1086</v>
      </c>
      <c r="B140" s="1">
        <v>45079</v>
      </c>
      <c r="C140" s="8" t="s">
        <v>14</v>
      </c>
      <c r="D140" s="8" t="s">
        <v>34</v>
      </c>
      <c r="E140" s="6">
        <v>2495.5700000000002</v>
      </c>
      <c r="F140" s="2">
        <v>3</v>
      </c>
      <c r="G140" s="8" t="s">
        <v>35</v>
      </c>
      <c r="H140" s="6">
        <v>1595.35</v>
      </c>
      <c r="I140" s="6">
        <v>1625.70999999999</v>
      </c>
      <c r="J140" s="8" t="s">
        <v>30</v>
      </c>
      <c r="K140" s="12">
        <v>0.27</v>
      </c>
      <c r="L140" s="8" t="s">
        <v>18</v>
      </c>
      <c r="M140" s="8" t="s">
        <v>19</v>
      </c>
      <c r="N140" s="10" t="s">
        <v>46</v>
      </c>
      <c r="O140" s="17">
        <f xml:space="preserve"> (Tabla1[[#This Row],[Unit_Price]] - Tabla1[[#This Row],[Unit_Cost]] ) * Tabla1[[#This Row],[Quantity_Sold]]</f>
        <v>91.079999999970369</v>
      </c>
      <c r="P140" s="12">
        <f>Tabla1[[#This Row],[Profit]] / Tabla1[[#This Row],[Sales_Calculated]]</f>
        <v>1.8674917420690228E-2</v>
      </c>
      <c r="Q140" s="20">
        <f xml:space="preserve"> Tabla1[[#This Row],[Unit_Price]] * Tabla1[[#This Row],[Quantity_Sold]]</f>
        <v>4877.1299999999701</v>
      </c>
    </row>
    <row r="141" spans="1:17" x14ac:dyDescent="0.3">
      <c r="A141" s="2">
        <v>1091</v>
      </c>
      <c r="B141" s="1">
        <v>45071</v>
      </c>
      <c r="C141" s="8" t="s">
        <v>42</v>
      </c>
      <c r="D141" s="8" t="s">
        <v>15</v>
      </c>
      <c r="E141" s="6">
        <v>9610.2099999999991</v>
      </c>
      <c r="F141" s="2">
        <v>24</v>
      </c>
      <c r="G141" s="8" t="s">
        <v>29</v>
      </c>
      <c r="H141" s="6">
        <v>3639.3</v>
      </c>
      <c r="I141" s="6">
        <v>3750.63</v>
      </c>
      <c r="J141" s="8" t="s">
        <v>30</v>
      </c>
      <c r="K141" s="12">
        <v>0.23</v>
      </c>
      <c r="L141" s="8" t="s">
        <v>27</v>
      </c>
      <c r="M141" s="8" t="s">
        <v>22</v>
      </c>
      <c r="N141" s="10" t="s">
        <v>49</v>
      </c>
      <c r="O141" s="17">
        <f xml:space="preserve"> (Tabla1[[#This Row],[Unit_Price]] - Tabla1[[#This Row],[Unit_Cost]] ) * Tabla1[[#This Row],[Quantity_Sold]]</f>
        <v>2671.9199999999983</v>
      </c>
      <c r="P141" s="12">
        <f>Tabla1[[#This Row],[Profit]] / Tabla1[[#This Row],[Sales_Calculated]]</f>
        <v>2.9683013253773347E-2</v>
      </c>
      <c r="Q141" s="20">
        <f xml:space="preserve"> Tabla1[[#This Row],[Unit_Price]] * Tabla1[[#This Row],[Quantity_Sold]]</f>
        <v>90015.12</v>
      </c>
    </row>
    <row r="142" spans="1:17" x14ac:dyDescent="0.3">
      <c r="A142" s="2">
        <v>1035</v>
      </c>
      <c r="B142" s="1">
        <v>45151</v>
      </c>
      <c r="C142" s="8" t="s">
        <v>42</v>
      </c>
      <c r="D142" s="8" t="s">
        <v>21</v>
      </c>
      <c r="E142" s="6">
        <v>2049.56</v>
      </c>
      <c r="F142" s="2">
        <v>5</v>
      </c>
      <c r="G142" s="8" t="s">
        <v>29</v>
      </c>
      <c r="H142" s="6">
        <v>3991.69</v>
      </c>
      <c r="I142" s="6">
        <v>4454.97</v>
      </c>
      <c r="J142" s="8" t="s">
        <v>30</v>
      </c>
      <c r="K142" s="12">
        <v>0.14000000000000001</v>
      </c>
      <c r="L142" s="8" t="s">
        <v>31</v>
      </c>
      <c r="M142" s="8" t="s">
        <v>22</v>
      </c>
      <c r="N142" s="10" t="s">
        <v>51</v>
      </c>
      <c r="O142" s="17">
        <f xml:space="preserve"> (Tabla1[[#This Row],[Unit_Price]] - Tabla1[[#This Row],[Unit_Cost]] ) * Tabla1[[#This Row],[Quantity_Sold]]</f>
        <v>2316.400000000001</v>
      </c>
      <c r="P142" s="12">
        <f>Tabla1[[#This Row],[Profit]] / Tabla1[[#This Row],[Sales_Calculated]]</f>
        <v>0.10399172160530826</v>
      </c>
      <c r="Q142" s="20">
        <f xml:space="preserve"> Tabla1[[#This Row],[Unit_Price]] * Tabla1[[#This Row],[Quantity_Sold]]</f>
        <v>22274.850000000002</v>
      </c>
    </row>
    <row r="143" spans="1:17" x14ac:dyDescent="0.3">
      <c r="A143" s="2">
        <v>1065</v>
      </c>
      <c r="B143" s="1">
        <v>45235</v>
      </c>
      <c r="C143" s="8" t="s">
        <v>42</v>
      </c>
      <c r="D143" s="8" t="s">
        <v>34</v>
      </c>
      <c r="E143" s="6">
        <v>9519.16</v>
      </c>
      <c r="F143" s="2">
        <v>3</v>
      </c>
      <c r="G143" s="8" t="s">
        <v>16</v>
      </c>
      <c r="H143" s="6">
        <v>4173.04</v>
      </c>
      <c r="I143" s="6">
        <v>4362.4399999999996</v>
      </c>
      <c r="J143" s="8" t="s">
        <v>30</v>
      </c>
      <c r="K143" s="12">
        <v>0.23</v>
      </c>
      <c r="L143" s="8" t="s">
        <v>27</v>
      </c>
      <c r="M143" s="8" t="s">
        <v>22</v>
      </c>
      <c r="N143" s="10" t="s">
        <v>52</v>
      </c>
      <c r="O143" s="17">
        <f xml:space="preserve"> (Tabla1[[#This Row],[Unit_Price]] - Tabla1[[#This Row],[Unit_Cost]] ) * Tabla1[[#This Row],[Quantity_Sold]]</f>
        <v>568.19999999999891</v>
      </c>
      <c r="P143" s="12">
        <f>Tabla1[[#This Row],[Profit]] / Tabla1[[#This Row],[Sales_Calculated]]</f>
        <v>4.3416069905832431E-2</v>
      </c>
      <c r="Q143" s="20">
        <f xml:space="preserve"> Tabla1[[#This Row],[Unit_Price]] * Tabla1[[#This Row],[Quantity_Sold]]</f>
        <v>13087.32</v>
      </c>
    </row>
    <row r="144" spans="1:17" x14ac:dyDescent="0.3">
      <c r="A144" s="2">
        <v>1099</v>
      </c>
      <c r="B144" s="1">
        <v>45030</v>
      </c>
      <c r="C144" s="8" t="s">
        <v>42</v>
      </c>
      <c r="D144" s="8" t="s">
        <v>34</v>
      </c>
      <c r="E144" s="6">
        <v>9948.7099999999991</v>
      </c>
      <c r="F144" s="2">
        <v>27</v>
      </c>
      <c r="G144" s="8" t="s">
        <v>26</v>
      </c>
      <c r="H144" s="6">
        <v>4929.55</v>
      </c>
      <c r="I144" s="6">
        <v>4990.33</v>
      </c>
      <c r="J144" s="8" t="s">
        <v>17</v>
      </c>
      <c r="K144" s="12">
        <v>0.28999999999999998</v>
      </c>
      <c r="L144" s="8" t="s">
        <v>31</v>
      </c>
      <c r="M144" s="8" t="s">
        <v>19</v>
      </c>
      <c r="N144" s="10" t="s">
        <v>52</v>
      </c>
      <c r="O144" s="17">
        <f xml:space="preserve"> (Tabla1[[#This Row],[Unit_Price]] - Tabla1[[#This Row],[Unit_Cost]] ) * Tabla1[[#This Row],[Quantity_Sold]]</f>
        <v>1641.0599999999931</v>
      </c>
      <c r="P144" s="12">
        <f>Tabla1[[#This Row],[Profit]] / Tabla1[[#This Row],[Sales_Calculated]]</f>
        <v>1.2179555259872542E-2</v>
      </c>
      <c r="Q144" s="20">
        <f xml:space="preserve"> Tabla1[[#This Row],[Unit_Price]] * Tabla1[[#This Row],[Quantity_Sold]]</f>
        <v>134738.91</v>
      </c>
    </row>
    <row r="145" spans="1:17" x14ac:dyDescent="0.3">
      <c r="A145" s="2">
        <v>1047</v>
      </c>
      <c r="B145" s="1">
        <v>45030</v>
      </c>
      <c r="C145" s="8" t="s">
        <v>38</v>
      </c>
      <c r="D145" s="8" t="s">
        <v>21</v>
      </c>
      <c r="E145" s="6">
        <v>7146.06</v>
      </c>
      <c r="F145" s="2">
        <v>16</v>
      </c>
      <c r="G145" s="8" t="s">
        <v>29</v>
      </c>
      <c r="H145" s="6">
        <v>3966.86</v>
      </c>
      <c r="I145" s="6">
        <v>4321.04</v>
      </c>
      <c r="J145" s="8" t="s">
        <v>17</v>
      </c>
      <c r="K145" s="12">
        <v>0.23</v>
      </c>
      <c r="L145" s="8" t="s">
        <v>31</v>
      </c>
      <c r="M145" s="8" t="s">
        <v>22</v>
      </c>
      <c r="N145" s="10" t="s">
        <v>41</v>
      </c>
      <c r="O145" s="17">
        <f xml:space="preserve"> (Tabla1[[#This Row],[Unit_Price]] - Tabla1[[#This Row],[Unit_Cost]] ) * Tabla1[[#This Row],[Quantity_Sold]]</f>
        <v>5666.8799999999974</v>
      </c>
      <c r="P145" s="12">
        <f>Tabla1[[#This Row],[Profit]] / Tabla1[[#This Row],[Sales_Calculated]]</f>
        <v>8.1966378464443712E-2</v>
      </c>
      <c r="Q145" s="20">
        <f xml:space="preserve"> Tabla1[[#This Row],[Unit_Price]] * Tabla1[[#This Row],[Quantity_Sold]]</f>
        <v>69136.639999999999</v>
      </c>
    </row>
    <row r="146" spans="1:17" x14ac:dyDescent="0.3">
      <c r="A146" s="2">
        <v>1078</v>
      </c>
      <c r="B146" s="1">
        <v>44965</v>
      </c>
      <c r="C146" s="8" t="s">
        <v>42</v>
      </c>
      <c r="D146" s="8" t="s">
        <v>25</v>
      </c>
      <c r="E146" s="6">
        <v>9813.32</v>
      </c>
      <c r="F146" s="2">
        <v>49</v>
      </c>
      <c r="G146" s="8" t="s">
        <v>16</v>
      </c>
      <c r="H146" s="6">
        <v>3026.85</v>
      </c>
      <c r="I146" s="6">
        <v>3183.58</v>
      </c>
      <c r="J146" s="8" t="s">
        <v>17</v>
      </c>
      <c r="K146" s="12">
        <v>0.25</v>
      </c>
      <c r="L146" s="8" t="s">
        <v>18</v>
      </c>
      <c r="M146" s="8" t="s">
        <v>22</v>
      </c>
      <c r="N146" s="10" t="s">
        <v>43</v>
      </c>
      <c r="O146" s="17">
        <f xml:space="preserve"> (Tabla1[[#This Row],[Unit_Price]] - Tabla1[[#This Row],[Unit_Cost]] ) * Tabla1[[#This Row],[Quantity_Sold]]</f>
        <v>7679.77</v>
      </c>
      <c r="P146" s="12">
        <f>Tabla1[[#This Row],[Profit]] / Tabla1[[#This Row],[Sales_Calculated]]</f>
        <v>4.9230740235835138E-2</v>
      </c>
      <c r="Q146" s="20">
        <f xml:space="preserve"> Tabla1[[#This Row],[Unit_Price]] * Tabla1[[#This Row],[Quantity_Sold]]</f>
        <v>155995.41999999998</v>
      </c>
    </row>
    <row r="147" spans="1:17" x14ac:dyDescent="0.3">
      <c r="A147" s="2">
        <v>1003</v>
      </c>
      <c r="B147" s="1">
        <v>45124</v>
      </c>
      <c r="C147" s="8" t="s">
        <v>38</v>
      </c>
      <c r="D147" s="8" t="s">
        <v>21</v>
      </c>
      <c r="E147" s="6">
        <v>5738.44</v>
      </c>
      <c r="F147" s="2">
        <v>15</v>
      </c>
      <c r="G147" s="8" t="s">
        <v>35</v>
      </c>
      <c r="H147" s="6">
        <v>1729.14</v>
      </c>
      <c r="I147" s="6">
        <v>1870.88</v>
      </c>
      <c r="J147" s="8" t="s">
        <v>17</v>
      </c>
      <c r="K147" s="12">
        <v>0.23</v>
      </c>
      <c r="L147" s="8" t="s">
        <v>18</v>
      </c>
      <c r="M147" s="8" t="s">
        <v>19</v>
      </c>
      <c r="N147" s="10" t="s">
        <v>41</v>
      </c>
      <c r="O147" s="17">
        <f xml:space="preserve"> (Tabla1[[#This Row],[Unit_Price]] - Tabla1[[#This Row],[Unit_Cost]] ) * Tabla1[[#This Row],[Quantity_Sold]]</f>
        <v>2126.1000000000004</v>
      </c>
      <c r="P147" s="12">
        <f>Tabla1[[#This Row],[Profit]] / Tabla1[[#This Row],[Sales_Calculated]]</f>
        <v>7.5761139143077069E-2</v>
      </c>
      <c r="Q147" s="20">
        <f xml:space="preserve"> Tabla1[[#This Row],[Unit_Price]] * Tabla1[[#This Row],[Quantity_Sold]]</f>
        <v>28063.200000000001</v>
      </c>
    </row>
    <row r="148" spans="1:17" x14ac:dyDescent="0.3">
      <c r="A148" s="2">
        <v>1001</v>
      </c>
      <c r="B148" s="1">
        <v>45060</v>
      </c>
      <c r="C148" s="8" t="s">
        <v>38</v>
      </c>
      <c r="D148" s="8" t="s">
        <v>25</v>
      </c>
      <c r="E148" s="6">
        <v>2669.46</v>
      </c>
      <c r="F148" s="2">
        <v>35</v>
      </c>
      <c r="G148" s="8" t="s">
        <v>35</v>
      </c>
      <c r="H148" s="6">
        <v>2745.75</v>
      </c>
      <c r="I148" s="6">
        <v>3244.76</v>
      </c>
      <c r="J148" s="8" t="s">
        <v>30</v>
      </c>
      <c r="K148" s="12">
        <v>0.05</v>
      </c>
      <c r="L148" s="8" t="s">
        <v>27</v>
      </c>
      <c r="M148" s="8" t="s">
        <v>19</v>
      </c>
      <c r="N148" s="10" t="s">
        <v>39</v>
      </c>
      <c r="O148" s="17">
        <f xml:space="preserve"> (Tabla1[[#This Row],[Unit_Price]] - Tabla1[[#This Row],[Unit_Cost]] ) * Tabla1[[#This Row],[Quantity_Sold]]</f>
        <v>17465.350000000006</v>
      </c>
      <c r="P148" s="12">
        <f>Tabla1[[#This Row],[Profit]] / Tabla1[[#This Row],[Sales_Calculated]]</f>
        <v>0.15378949444643059</v>
      </c>
      <c r="Q148" s="20">
        <f xml:space="preserve"> Tabla1[[#This Row],[Unit_Price]] * Tabla1[[#This Row],[Quantity_Sold]]</f>
        <v>113566.6</v>
      </c>
    </row>
    <row r="149" spans="1:17" x14ac:dyDescent="0.3">
      <c r="A149" s="2">
        <v>1005</v>
      </c>
      <c r="B149" s="1">
        <v>44993</v>
      </c>
      <c r="C149" s="8" t="s">
        <v>42</v>
      </c>
      <c r="D149" s="8" t="s">
        <v>15</v>
      </c>
      <c r="E149" s="6">
        <v>4426.26</v>
      </c>
      <c r="F149" s="2">
        <v>12</v>
      </c>
      <c r="G149" s="8" t="s">
        <v>29</v>
      </c>
      <c r="H149" s="6">
        <v>253.29</v>
      </c>
      <c r="I149" s="6">
        <v>683.78</v>
      </c>
      <c r="J149" s="8" t="s">
        <v>30</v>
      </c>
      <c r="K149" s="12">
        <v>0.25</v>
      </c>
      <c r="L149" s="8" t="s">
        <v>31</v>
      </c>
      <c r="M149" s="8" t="s">
        <v>19</v>
      </c>
      <c r="N149" s="10" t="s">
        <v>49</v>
      </c>
      <c r="O149" s="17">
        <f xml:space="preserve"> (Tabla1[[#This Row],[Unit_Price]] - Tabla1[[#This Row],[Unit_Cost]] ) * Tabla1[[#This Row],[Quantity_Sold]]</f>
        <v>5165.88</v>
      </c>
      <c r="P149" s="12">
        <f>Tabla1[[#This Row],[Profit]] / Tabla1[[#This Row],[Sales_Calculated]]</f>
        <v>0.62957383953903301</v>
      </c>
      <c r="Q149" s="20">
        <f xml:space="preserve"> Tabla1[[#This Row],[Unit_Price]] * Tabla1[[#This Row],[Quantity_Sold]]</f>
        <v>8205.36</v>
      </c>
    </row>
    <row r="150" spans="1:17" x14ac:dyDescent="0.3">
      <c r="A150" s="2">
        <v>1090</v>
      </c>
      <c r="B150" s="1">
        <v>45105</v>
      </c>
      <c r="C150" s="8" t="s">
        <v>33</v>
      </c>
      <c r="D150" s="8" t="s">
        <v>15</v>
      </c>
      <c r="E150" s="6">
        <v>5976.25</v>
      </c>
      <c r="F150" s="2">
        <v>41</v>
      </c>
      <c r="G150" s="8" t="s">
        <v>29</v>
      </c>
      <c r="H150" s="6">
        <v>3736.88</v>
      </c>
      <c r="I150" s="6">
        <v>3946.77</v>
      </c>
      <c r="J150" s="8" t="s">
        <v>17</v>
      </c>
      <c r="K150" s="12">
        <v>0.06</v>
      </c>
      <c r="L150" s="8" t="s">
        <v>31</v>
      </c>
      <c r="M150" s="8" t="s">
        <v>19</v>
      </c>
      <c r="N150" s="10" t="s">
        <v>53</v>
      </c>
      <c r="O150" s="17">
        <f xml:space="preserve"> (Tabla1[[#This Row],[Unit_Price]] - Tabla1[[#This Row],[Unit_Cost]] ) * Tabla1[[#This Row],[Quantity_Sold]]</f>
        <v>8605.4899999999943</v>
      </c>
      <c r="P150" s="12">
        <f>Tabla1[[#This Row],[Profit]] / Tabla1[[#This Row],[Sales_Calculated]]</f>
        <v>5.3180195450963662E-2</v>
      </c>
      <c r="Q150" s="20">
        <f xml:space="preserve"> Tabla1[[#This Row],[Unit_Price]] * Tabla1[[#This Row],[Quantity_Sold]]</f>
        <v>161817.57</v>
      </c>
    </row>
    <row r="151" spans="1:17" x14ac:dyDescent="0.3">
      <c r="A151" s="2">
        <v>1014</v>
      </c>
      <c r="B151" s="1">
        <v>44968</v>
      </c>
      <c r="C151" s="8" t="s">
        <v>24</v>
      </c>
      <c r="D151" s="8" t="s">
        <v>21</v>
      </c>
      <c r="E151" s="6">
        <v>823.51</v>
      </c>
      <c r="F151" s="2">
        <v>44</v>
      </c>
      <c r="G151" s="8" t="s">
        <v>26</v>
      </c>
      <c r="H151" s="6">
        <v>2257.48</v>
      </c>
      <c r="I151" s="6">
        <v>2747.81</v>
      </c>
      <c r="J151" s="8" t="s">
        <v>17</v>
      </c>
      <c r="K151" s="12">
        <v>0.27</v>
      </c>
      <c r="L151" s="8" t="s">
        <v>18</v>
      </c>
      <c r="M151" s="8" t="s">
        <v>19</v>
      </c>
      <c r="N151" s="10" t="s">
        <v>47</v>
      </c>
      <c r="O151" s="17">
        <f xml:space="preserve"> (Tabla1[[#This Row],[Unit_Price]] - Tabla1[[#This Row],[Unit_Cost]] ) * Tabla1[[#This Row],[Quantity_Sold]]</f>
        <v>21574.519999999997</v>
      </c>
      <c r="P151" s="12">
        <f>Tabla1[[#This Row],[Profit]] / Tabla1[[#This Row],[Sales_Calculated]]</f>
        <v>0.17844392443436771</v>
      </c>
      <c r="Q151" s="20">
        <f xml:space="preserve"> Tabla1[[#This Row],[Unit_Price]] * Tabla1[[#This Row],[Quantity_Sold]]</f>
        <v>120903.64</v>
      </c>
    </row>
    <row r="152" spans="1:17" x14ac:dyDescent="0.3">
      <c r="A152" s="2">
        <v>1027</v>
      </c>
      <c r="B152" s="1">
        <v>44941</v>
      </c>
      <c r="C152" s="8" t="s">
        <v>14</v>
      </c>
      <c r="D152" s="8" t="s">
        <v>21</v>
      </c>
      <c r="E152" s="6">
        <v>6261.2</v>
      </c>
      <c r="F152" s="2">
        <v>26</v>
      </c>
      <c r="G152" s="8" t="s">
        <v>26</v>
      </c>
      <c r="H152" s="6">
        <v>149.11000000000001</v>
      </c>
      <c r="I152" s="6">
        <v>477.67</v>
      </c>
      <c r="J152" s="8" t="s">
        <v>17</v>
      </c>
      <c r="K152" s="12">
        <v>0.14000000000000001</v>
      </c>
      <c r="L152" s="8" t="s">
        <v>18</v>
      </c>
      <c r="M152" s="8" t="s">
        <v>22</v>
      </c>
      <c r="N152" s="10" t="s">
        <v>23</v>
      </c>
      <c r="O152" s="17">
        <f xml:space="preserve"> (Tabla1[[#This Row],[Unit_Price]] - Tabla1[[#This Row],[Unit_Cost]] ) * Tabla1[[#This Row],[Quantity_Sold]]</f>
        <v>8542.56</v>
      </c>
      <c r="P152" s="12">
        <f>Tabla1[[#This Row],[Profit]] / Tabla1[[#This Row],[Sales_Calculated]]</f>
        <v>0.6878388845855925</v>
      </c>
      <c r="Q152" s="20">
        <f xml:space="preserve"> Tabla1[[#This Row],[Unit_Price]] * Tabla1[[#This Row],[Quantity_Sold]]</f>
        <v>12419.42</v>
      </c>
    </row>
    <row r="153" spans="1:17" x14ac:dyDescent="0.3">
      <c r="A153" s="2">
        <v>1009</v>
      </c>
      <c r="B153" s="1">
        <v>45037</v>
      </c>
      <c r="C153" s="8" t="s">
        <v>38</v>
      </c>
      <c r="D153" s="8" t="s">
        <v>15</v>
      </c>
      <c r="E153" s="6">
        <v>9813.66</v>
      </c>
      <c r="F153" s="2">
        <v>47</v>
      </c>
      <c r="G153" s="8" t="s">
        <v>29</v>
      </c>
      <c r="H153" s="6">
        <v>359.41</v>
      </c>
      <c r="I153" s="6">
        <v>733</v>
      </c>
      <c r="J153" s="8" t="s">
        <v>17</v>
      </c>
      <c r="K153" s="12">
        <v>0.2</v>
      </c>
      <c r="L153" s="8" t="s">
        <v>27</v>
      </c>
      <c r="M153" s="8" t="s">
        <v>22</v>
      </c>
      <c r="N153" s="10" t="s">
        <v>40</v>
      </c>
      <c r="O153" s="17">
        <f xml:space="preserve"> (Tabla1[[#This Row],[Unit_Price]] - Tabla1[[#This Row],[Unit_Cost]] ) * Tabla1[[#This Row],[Quantity_Sold]]</f>
        <v>17558.73</v>
      </c>
      <c r="P153" s="12">
        <f>Tabla1[[#This Row],[Profit]] / Tabla1[[#This Row],[Sales_Calculated]]</f>
        <v>0.50967257844474756</v>
      </c>
      <c r="Q153" s="20">
        <f xml:space="preserve"> Tabla1[[#This Row],[Unit_Price]] * Tabla1[[#This Row],[Quantity_Sold]]</f>
        <v>34451</v>
      </c>
    </row>
    <row r="154" spans="1:17" x14ac:dyDescent="0.3">
      <c r="A154" s="2">
        <v>1079</v>
      </c>
      <c r="B154" s="1">
        <v>45083</v>
      </c>
      <c r="C154" s="8" t="s">
        <v>24</v>
      </c>
      <c r="D154" s="8" t="s">
        <v>25</v>
      </c>
      <c r="E154" s="6">
        <v>1982.07</v>
      </c>
      <c r="F154" s="2">
        <v>34</v>
      </c>
      <c r="G154" s="8" t="s">
        <v>16</v>
      </c>
      <c r="H154" s="6">
        <v>1967.96</v>
      </c>
      <c r="I154" s="6">
        <v>1993.4</v>
      </c>
      <c r="J154" s="8" t="s">
        <v>17</v>
      </c>
      <c r="K154" s="12">
        <v>0.15</v>
      </c>
      <c r="L154" s="8" t="s">
        <v>31</v>
      </c>
      <c r="M154" s="8" t="s">
        <v>19</v>
      </c>
      <c r="N154" s="10" t="s">
        <v>28</v>
      </c>
      <c r="O154" s="17">
        <f xml:space="preserve"> (Tabla1[[#This Row],[Unit_Price]] - Tabla1[[#This Row],[Unit_Cost]] ) * Tabla1[[#This Row],[Quantity_Sold]]</f>
        <v>864.96000000000186</v>
      </c>
      <c r="P154" s="12">
        <f>Tabla1[[#This Row],[Profit]] / Tabla1[[#This Row],[Sales_Calculated]]</f>
        <v>1.2762114979432151E-2</v>
      </c>
      <c r="Q154" s="20">
        <f xml:space="preserve"> Tabla1[[#This Row],[Unit_Price]] * Tabla1[[#This Row],[Quantity_Sold]]</f>
        <v>67775.600000000006</v>
      </c>
    </row>
    <row r="155" spans="1:17" x14ac:dyDescent="0.3">
      <c r="A155" s="2">
        <v>1015</v>
      </c>
      <c r="B155" s="1">
        <v>45215</v>
      </c>
      <c r="C155" s="8" t="s">
        <v>33</v>
      </c>
      <c r="D155" s="8" t="s">
        <v>15</v>
      </c>
      <c r="E155" s="6">
        <v>7946.69</v>
      </c>
      <c r="F155" s="2">
        <v>23</v>
      </c>
      <c r="G155" s="8" t="s">
        <v>26</v>
      </c>
      <c r="H155" s="6">
        <v>2937.94</v>
      </c>
      <c r="I155" s="6">
        <v>3007.53</v>
      </c>
      <c r="J155" s="8" t="s">
        <v>17</v>
      </c>
      <c r="K155" s="12">
        <v>0.03</v>
      </c>
      <c r="L155" s="8" t="s">
        <v>18</v>
      </c>
      <c r="M155" s="8" t="s">
        <v>22</v>
      </c>
      <c r="N155" s="10" t="s">
        <v>53</v>
      </c>
      <c r="O155" s="17">
        <f xml:space="preserve"> (Tabla1[[#This Row],[Unit_Price]] - Tabla1[[#This Row],[Unit_Cost]] ) * Tabla1[[#This Row],[Quantity_Sold]]</f>
        <v>1600.5700000000033</v>
      </c>
      <c r="P155" s="12">
        <f>Tabla1[[#This Row],[Profit]] / Tabla1[[#This Row],[Sales_Calculated]]</f>
        <v>2.3138588808756733E-2</v>
      </c>
      <c r="Q155" s="20">
        <f xml:space="preserve"> Tabla1[[#This Row],[Unit_Price]] * Tabla1[[#This Row],[Quantity_Sold]]</f>
        <v>69173.19</v>
      </c>
    </row>
    <row r="156" spans="1:17" x14ac:dyDescent="0.3">
      <c r="A156" s="2">
        <v>1090</v>
      </c>
      <c r="B156" s="1">
        <v>45157</v>
      </c>
      <c r="C156" s="8" t="s">
        <v>14</v>
      </c>
      <c r="D156" s="8" t="s">
        <v>21</v>
      </c>
      <c r="E156" s="6">
        <v>9088.2000000000007</v>
      </c>
      <c r="F156" s="2">
        <v>31</v>
      </c>
      <c r="G156" s="8" t="s">
        <v>29</v>
      </c>
      <c r="H156" s="6">
        <v>2347.81</v>
      </c>
      <c r="I156" s="6">
        <v>2668.02</v>
      </c>
      <c r="J156" s="8" t="s">
        <v>17</v>
      </c>
      <c r="K156" s="12">
        <v>0.09</v>
      </c>
      <c r="L156" s="8" t="s">
        <v>27</v>
      </c>
      <c r="M156" s="8" t="s">
        <v>22</v>
      </c>
      <c r="N156" s="10" t="s">
        <v>23</v>
      </c>
      <c r="O156" s="17">
        <f xml:space="preserve"> (Tabla1[[#This Row],[Unit_Price]] - Tabla1[[#This Row],[Unit_Cost]] ) * Tabla1[[#This Row],[Quantity_Sold]]</f>
        <v>9926.510000000002</v>
      </c>
      <c r="P156" s="12">
        <f>Tabla1[[#This Row],[Profit]] / Tabla1[[#This Row],[Sales_Calculated]]</f>
        <v>0.12001784094572007</v>
      </c>
      <c r="Q156" s="20">
        <f xml:space="preserve"> Tabla1[[#This Row],[Unit_Price]] * Tabla1[[#This Row],[Quantity_Sold]]</f>
        <v>82708.62</v>
      </c>
    </row>
    <row r="157" spans="1:17" x14ac:dyDescent="0.3">
      <c r="A157" s="2">
        <v>1042</v>
      </c>
      <c r="B157" s="1">
        <v>45083</v>
      </c>
      <c r="C157" s="8" t="s">
        <v>14</v>
      </c>
      <c r="D157" s="8" t="s">
        <v>15</v>
      </c>
      <c r="E157" s="6">
        <v>9442.65</v>
      </c>
      <c r="F157" s="2">
        <v>20</v>
      </c>
      <c r="G157" s="8" t="s">
        <v>26</v>
      </c>
      <c r="H157" s="6">
        <v>3115.06</v>
      </c>
      <c r="I157" s="6">
        <v>3565.58</v>
      </c>
      <c r="J157" s="8" t="s">
        <v>17</v>
      </c>
      <c r="K157" s="12">
        <v>0.3</v>
      </c>
      <c r="L157" s="8" t="s">
        <v>31</v>
      </c>
      <c r="M157" s="8" t="s">
        <v>22</v>
      </c>
      <c r="N157" s="10" t="s">
        <v>20</v>
      </c>
      <c r="O157" s="17">
        <f xml:space="preserve"> (Tabla1[[#This Row],[Unit_Price]] - Tabla1[[#This Row],[Unit_Cost]] ) * Tabla1[[#This Row],[Quantity_Sold]]</f>
        <v>9010.4</v>
      </c>
      <c r="P157" s="12">
        <f>Tabla1[[#This Row],[Profit]] / Tabla1[[#This Row],[Sales_Calculated]]</f>
        <v>0.1263525148783648</v>
      </c>
      <c r="Q157" s="20">
        <f xml:space="preserve"> Tabla1[[#This Row],[Unit_Price]] * Tabla1[[#This Row],[Quantity_Sold]]</f>
        <v>71311.600000000006</v>
      </c>
    </row>
    <row r="158" spans="1:17" x14ac:dyDescent="0.3">
      <c r="A158" s="2">
        <v>1077</v>
      </c>
      <c r="B158" s="1">
        <v>44964</v>
      </c>
      <c r="C158" s="8" t="s">
        <v>38</v>
      </c>
      <c r="D158" s="8" t="s">
        <v>21</v>
      </c>
      <c r="E158" s="6">
        <v>9605.34</v>
      </c>
      <c r="F158" s="2">
        <v>12</v>
      </c>
      <c r="G158" s="8" t="s">
        <v>29</v>
      </c>
      <c r="H158" s="6">
        <v>2427.46</v>
      </c>
      <c r="I158" s="6">
        <v>2743.09</v>
      </c>
      <c r="J158" s="8" t="s">
        <v>30</v>
      </c>
      <c r="K158" s="12">
        <v>0.28999999999999998</v>
      </c>
      <c r="L158" s="8" t="s">
        <v>31</v>
      </c>
      <c r="M158" s="8" t="s">
        <v>22</v>
      </c>
      <c r="N158" s="10" t="s">
        <v>41</v>
      </c>
      <c r="O158" s="17">
        <f xml:space="preserve"> (Tabla1[[#This Row],[Unit_Price]] - Tabla1[[#This Row],[Unit_Cost]] ) * Tabla1[[#This Row],[Quantity_Sold]]</f>
        <v>3787.5600000000013</v>
      </c>
      <c r="P158" s="12">
        <f>Tabla1[[#This Row],[Profit]] / Tabla1[[#This Row],[Sales_Calculated]]</f>
        <v>0.11506366907392761</v>
      </c>
      <c r="Q158" s="20">
        <f xml:space="preserve"> Tabla1[[#This Row],[Unit_Price]] * Tabla1[[#This Row],[Quantity_Sold]]</f>
        <v>32917.08</v>
      </c>
    </row>
    <row r="159" spans="1:17" x14ac:dyDescent="0.3">
      <c r="A159" s="2">
        <v>1051</v>
      </c>
      <c r="B159" s="1">
        <v>45023</v>
      </c>
      <c r="C159" s="8" t="s">
        <v>42</v>
      </c>
      <c r="D159" s="8" t="s">
        <v>21</v>
      </c>
      <c r="E159" s="6">
        <v>5262.45</v>
      </c>
      <c r="F159" s="2">
        <v>23</v>
      </c>
      <c r="G159" s="8" t="s">
        <v>35</v>
      </c>
      <c r="H159" s="6">
        <v>3325.43</v>
      </c>
      <c r="I159" s="6">
        <v>3401.1</v>
      </c>
      <c r="J159" s="8" t="s">
        <v>30</v>
      </c>
      <c r="K159" s="12">
        <v>0.1</v>
      </c>
      <c r="L159" s="8" t="s">
        <v>18</v>
      </c>
      <c r="M159" s="8" t="s">
        <v>19</v>
      </c>
      <c r="N159" s="10" t="s">
        <v>51</v>
      </c>
      <c r="O159" s="17">
        <f xml:space="preserve"> (Tabla1[[#This Row],[Unit_Price]] - Tabla1[[#This Row],[Unit_Cost]] ) * Tabla1[[#This Row],[Quantity_Sold]]</f>
        <v>1740.4100000000017</v>
      </c>
      <c r="P159" s="12">
        <f>Tabla1[[#This Row],[Profit]] / Tabla1[[#This Row],[Sales_Calculated]]</f>
        <v>2.2248684249213509E-2</v>
      </c>
      <c r="Q159" s="20">
        <f xml:space="preserve"> Tabla1[[#This Row],[Unit_Price]] * Tabla1[[#This Row],[Quantity_Sold]]</f>
        <v>78225.3</v>
      </c>
    </row>
    <row r="160" spans="1:17" x14ac:dyDescent="0.3">
      <c r="A160" s="2">
        <v>1063</v>
      </c>
      <c r="B160" s="1">
        <v>45215</v>
      </c>
      <c r="C160" s="8" t="s">
        <v>33</v>
      </c>
      <c r="D160" s="8" t="s">
        <v>15</v>
      </c>
      <c r="E160" s="6">
        <v>9775.35</v>
      </c>
      <c r="F160" s="2">
        <v>4</v>
      </c>
      <c r="G160" s="8" t="s">
        <v>29</v>
      </c>
      <c r="H160" s="6">
        <v>1134.67</v>
      </c>
      <c r="I160" s="6">
        <v>1201.3900000000001</v>
      </c>
      <c r="J160" s="8" t="s">
        <v>30</v>
      </c>
      <c r="K160" s="12">
        <v>0.3</v>
      </c>
      <c r="L160" s="8" t="s">
        <v>27</v>
      </c>
      <c r="M160" s="8" t="s">
        <v>22</v>
      </c>
      <c r="N160" s="10" t="s">
        <v>53</v>
      </c>
      <c r="O160" s="17">
        <f xml:space="preserve"> (Tabla1[[#This Row],[Unit_Price]] - Tabla1[[#This Row],[Unit_Cost]] ) * Tabla1[[#This Row],[Quantity_Sold]]</f>
        <v>266.88000000000011</v>
      </c>
      <c r="P160" s="12">
        <f>Tabla1[[#This Row],[Profit]] / Tabla1[[#This Row],[Sales_Calculated]]</f>
        <v>5.5535671180882165E-2</v>
      </c>
      <c r="Q160" s="20">
        <f xml:space="preserve"> Tabla1[[#This Row],[Unit_Price]] * Tabla1[[#This Row],[Quantity_Sold]]</f>
        <v>4805.5600000000004</v>
      </c>
    </row>
    <row r="161" spans="1:17" x14ac:dyDescent="0.3">
      <c r="A161" s="2">
        <v>1096</v>
      </c>
      <c r="B161" s="1">
        <v>45180</v>
      </c>
      <c r="C161" s="8" t="s">
        <v>38</v>
      </c>
      <c r="D161" s="8" t="s">
        <v>25</v>
      </c>
      <c r="E161" s="6">
        <v>7597.37</v>
      </c>
      <c r="F161" s="2">
        <v>23</v>
      </c>
      <c r="G161" s="8" t="s">
        <v>35</v>
      </c>
      <c r="H161" s="6">
        <v>608.57000000000005</v>
      </c>
      <c r="I161" s="6">
        <v>1032.22</v>
      </c>
      <c r="J161" s="8" t="s">
        <v>30</v>
      </c>
      <c r="K161" s="12">
        <v>0.25</v>
      </c>
      <c r="L161" s="8" t="s">
        <v>18</v>
      </c>
      <c r="M161" s="8" t="s">
        <v>22</v>
      </c>
      <c r="N161" s="10" t="s">
        <v>39</v>
      </c>
      <c r="O161" s="17">
        <f xml:space="preserve"> (Tabla1[[#This Row],[Unit_Price]] - Tabla1[[#This Row],[Unit_Cost]] ) * Tabla1[[#This Row],[Quantity_Sold]]</f>
        <v>9743.9499999999989</v>
      </c>
      <c r="P161" s="12">
        <f>Tabla1[[#This Row],[Profit]] / Tabla1[[#This Row],[Sales_Calculated]]</f>
        <v>0.41042607196140352</v>
      </c>
      <c r="Q161" s="20">
        <f xml:space="preserve"> Tabla1[[#This Row],[Unit_Price]] * Tabla1[[#This Row],[Quantity_Sold]]</f>
        <v>23741.06</v>
      </c>
    </row>
    <row r="162" spans="1:17" x14ac:dyDescent="0.3">
      <c r="A162" s="2">
        <v>1052</v>
      </c>
      <c r="B162" s="1">
        <v>45122</v>
      </c>
      <c r="C162" s="8" t="s">
        <v>33</v>
      </c>
      <c r="D162" s="8" t="s">
        <v>34</v>
      </c>
      <c r="E162" s="6">
        <v>1700.55</v>
      </c>
      <c r="F162" s="2">
        <v>48</v>
      </c>
      <c r="G162" s="8" t="s">
        <v>26</v>
      </c>
      <c r="H162" s="6">
        <v>3002.35</v>
      </c>
      <c r="I162" s="6">
        <v>3080.61</v>
      </c>
      <c r="J162" s="8" t="s">
        <v>17</v>
      </c>
      <c r="K162" s="12">
        <v>0.18</v>
      </c>
      <c r="L162" s="8" t="s">
        <v>27</v>
      </c>
      <c r="M162" s="8" t="s">
        <v>22</v>
      </c>
      <c r="N162" s="10" t="s">
        <v>36</v>
      </c>
      <c r="O162" s="17">
        <f xml:space="preserve"> (Tabla1[[#This Row],[Unit_Price]] - Tabla1[[#This Row],[Unit_Cost]] ) * Tabla1[[#This Row],[Quantity_Sold]]</f>
        <v>3756.4800000000105</v>
      </c>
      <c r="P162" s="12">
        <f>Tabla1[[#This Row],[Profit]] / Tabla1[[#This Row],[Sales_Calculated]]</f>
        <v>2.5404059585601622E-2</v>
      </c>
      <c r="Q162" s="20">
        <f xml:space="preserve"> Tabla1[[#This Row],[Unit_Price]] * Tabla1[[#This Row],[Quantity_Sold]]</f>
        <v>147869.28</v>
      </c>
    </row>
    <row r="163" spans="1:17" x14ac:dyDescent="0.3">
      <c r="A163" s="2">
        <v>1096</v>
      </c>
      <c r="B163" s="1">
        <v>45012</v>
      </c>
      <c r="C163" s="8" t="s">
        <v>42</v>
      </c>
      <c r="D163" s="8" t="s">
        <v>15</v>
      </c>
      <c r="E163" s="6">
        <v>4821.3100000000004</v>
      </c>
      <c r="F163" s="2">
        <v>48</v>
      </c>
      <c r="G163" s="8" t="s">
        <v>29</v>
      </c>
      <c r="H163" s="6">
        <v>2449.21</v>
      </c>
      <c r="I163" s="6">
        <v>2714.12</v>
      </c>
      <c r="J163" s="8" t="s">
        <v>30</v>
      </c>
      <c r="K163" s="12">
        <v>0.01</v>
      </c>
      <c r="L163" s="8" t="s">
        <v>31</v>
      </c>
      <c r="M163" s="8" t="s">
        <v>19</v>
      </c>
      <c r="N163" s="10" t="s">
        <v>49</v>
      </c>
      <c r="O163" s="17">
        <f xml:space="preserve"> (Tabla1[[#This Row],[Unit_Price]] - Tabla1[[#This Row],[Unit_Cost]] ) * Tabla1[[#This Row],[Quantity_Sold]]</f>
        <v>12715.679999999993</v>
      </c>
      <c r="P163" s="12">
        <f>Tabla1[[#This Row],[Profit]] / Tabla1[[#This Row],[Sales_Calculated]]</f>
        <v>9.7604380056887638E-2</v>
      </c>
      <c r="Q163" s="20">
        <f xml:space="preserve"> Tabla1[[#This Row],[Unit_Price]] * Tabla1[[#This Row],[Quantity_Sold]]</f>
        <v>130277.75999999999</v>
      </c>
    </row>
    <row r="164" spans="1:17" x14ac:dyDescent="0.3">
      <c r="A164" s="2">
        <v>1004</v>
      </c>
      <c r="B164" s="1">
        <v>45248</v>
      </c>
      <c r="C164" s="8" t="s">
        <v>42</v>
      </c>
      <c r="D164" s="8" t="s">
        <v>34</v>
      </c>
      <c r="E164" s="6">
        <v>7211.48</v>
      </c>
      <c r="F164" s="2">
        <v>1</v>
      </c>
      <c r="G164" s="8" t="s">
        <v>26</v>
      </c>
      <c r="H164" s="6">
        <v>182.99</v>
      </c>
      <c r="I164" s="6">
        <v>211.18</v>
      </c>
      <c r="J164" s="8" t="s">
        <v>17</v>
      </c>
      <c r="K164" s="12">
        <v>0.27</v>
      </c>
      <c r="L164" s="8" t="s">
        <v>27</v>
      </c>
      <c r="M164" s="8" t="s">
        <v>22</v>
      </c>
      <c r="N164" s="10" t="s">
        <v>52</v>
      </c>
      <c r="O164" s="17">
        <f xml:space="preserve"> (Tabla1[[#This Row],[Unit_Price]] - Tabla1[[#This Row],[Unit_Cost]] ) * Tabla1[[#This Row],[Quantity_Sold]]</f>
        <v>28.189999999999998</v>
      </c>
      <c r="P164" s="12">
        <f>Tabla1[[#This Row],[Profit]] / Tabla1[[#This Row],[Sales_Calculated]]</f>
        <v>0.13348801969883511</v>
      </c>
      <c r="Q164" s="20">
        <f xml:space="preserve"> Tabla1[[#This Row],[Unit_Price]] * Tabla1[[#This Row],[Quantity_Sold]]</f>
        <v>211.18</v>
      </c>
    </row>
    <row r="165" spans="1:17" x14ac:dyDescent="0.3">
      <c r="A165" s="2">
        <v>1094</v>
      </c>
      <c r="B165" s="1">
        <v>44936</v>
      </c>
      <c r="C165" s="8" t="s">
        <v>38</v>
      </c>
      <c r="D165" s="8" t="s">
        <v>15</v>
      </c>
      <c r="E165" s="6">
        <v>2548.67</v>
      </c>
      <c r="F165" s="2">
        <v>25</v>
      </c>
      <c r="G165" s="8" t="s">
        <v>35</v>
      </c>
      <c r="H165" s="6">
        <v>1933.39</v>
      </c>
      <c r="I165" s="6">
        <v>1982.92</v>
      </c>
      <c r="J165" s="8" t="s">
        <v>30</v>
      </c>
      <c r="K165" s="12">
        <v>0.17</v>
      </c>
      <c r="L165" s="8" t="s">
        <v>27</v>
      </c>
      <c r="M165" s="8" t="s">
        <v>19</v>
      </c>
      <c r="N165" s="10" t="s">
        <v>40</v>
      </c>
      <c r="O165" s="17">
        <f xml:space="preserve"> (Tabla1[[#This Row],[Unit_Price]] - Tabla1[[#This Row],[Unit_Cost]] ) * Tabla1[[#This Row],[Quantity_Sold]]</f>
        <v>1238.2499999999993</v>
      </c>
      <c r="P165" s="12">
        <f>Tabla1[[#This Row],[Profit]] / Tabla1[[#This Row],[Sales_Calculated]]</f>
        <v>2.4978314808464273E-2</v>
      </c>
      <c r="Q165" s="20">
        <f xml:space="preserve"> Tabla1[[#This Row],[Unit_Price]] * Tabla1[[#This Row],[Quantity_Sold]]</f>
        <v>49573</v>
      </c>
    </row>
    <row r="166" spans="1:17" x14ac:dyDescent="0.3">
      <c r="A166" s="2">
        <v>1023</v>
      </c>
      <c r="B166" s="1">
        <v>44931</v>
      </c>
      <c r="C166" s="8" t="s">
        <v>42</v>
      </c>
      <c r="D166" s="8" t="s">
        <v>34</v>
      </c>
      <c r="E166" s="6">
        <v>6442.09</v>
      </c>
      <c r="F166" s="2">
        <v>2</v>
      </c>
      <c r="G166" s="8" t="s">
        <v>29</v>
      </c>
      <c r="H166" s="6">
        <v>575.32000000000005</v>
      </c>
      <c r="I166" s="6">
        <v>914.77</v>
      </c>
      <c r="J166" s="8" t="s">
        <v>17</v>
      </c>
      <c r="K166" s="12">
        <v>0.26</v>
      </c>
      <c r="L166" s="8" t="s">
        <v>27</v>
      </c>
      <c r="M166" s="8" t="s">
        <v>19</v>
      </c>
      <c r="N166" s="10" t="s">
        <v>52</v>
      </c>
      <c r="O166" s="17">
        <f xml:space="preserve"> (Tabla1[[#This Row],[Unit_Price]] - Tabla1[[#This Row],[Unit_Cost]] ) * Tabla1[[#This Row],[Quantity_Sold]]</f>
        <v>678.89999999999986</v>
      </c>
      <c r="P166" s="12">
        <f>Tabla1[[#This Row],[Profit]] / Tabla1[[#This Row],[Sales_Calculated]]</f>
        <v>0.37107688271368755</v>
      </c>
      <c r="Q166" s="20">
        <f xml:space="preserve"> Tabla1[[#This Row],[Unit_Price]] * Tabla1[[#This Row],[Quantity_Sold]]</f>
        <v>1829.54</v>
      </c>
    </row>
    <row r="167" spans="1:17" x14ac:dyDescent="0.3">
      <c r="A167" s="2">
        <v>1015</v>
      </c>
      <c r="B167" s="1">
        <v>45049</v>
      </c>
      <c r="C167" s="8" t="s">
        <v>24</v>
      </c>
      <c r="D167" s="8" t="s">
        <v>25</v>
      </c>
      <c r="E167" s="6">
        <v>6699.34</v>
      </c>
      <c r="F167" s="2">
        <v>30</v>
      </c>
      <c r="G167" s="8" t="s">
        <v>26</v>
      </c>
      <c r="H167" s="6">
        <v>2680.22</v>
      </c>
      <c r="I167" s="6">
        <v>3027.9199999999901</v>
      </c>
      <c r="J167" s="8" t="s">
        <v>17</v>
      </c>
      <c r="K167" s="12">
        <v>0.25</v>
      </c>
      <c r="L167" s="8" t="s">
        <v>27</v>
      </c>
      <c r="M167" s="8" t="s">
        <v>19</v>
      </c>
      <c r="N167" s="10" t="s">
        <v>28</v>
      </c>
      <c r="O167" s="17">
        <f xml:space="preserve"> (Tabla1[[#This Row],[Unit_Price]] - Tabla1[[#This Row],[Unit_Cost]] ) * Tabla1[[#This Row],[Quantity_Sold]]</f>
        <v>10430.999999999709</v>
      </c>
      <c r="P167" s="12">
        <f>Tabla1[[#This Row],[Profit]] / Tabla1[[#This Row],[Sales_Calculated]]</f>
        <v>0.11483130333694135</v>
      </c>
      <c r="Q167" s="20">
        <f xml:space="preserve"> Tabla1[[#This Row],[Unit_Price]] * Tabla1[[#This Row],[Quantity_Sold]]</f>
        <v>90837.5999999997</v>
      </c>
    </row>
    <row r="168" spans="1:17" x14ac:dyDescent="0.3">
      <c r="A168" s="2">
        <v>1043</v>
      </c>
      <c r="B168" s="1">
        <v>45256</v>
      </c>
      <c r="C168" s="8" t="s">
        <v>14</v>
      </c>
      <c r="D168" s="8" t="s">
        <v>25</v>
      </c>
      <c r="E168" s="6">
        <v>1710.73</v>
      </c>
      <c r="F168" s="2">
        <v>3</v>
      </c>
      <c r="G168" s="8" t="s">
        <v>35</v>
      </c>
      <c r="H168" s="6">
        <v>2009.1</v>
      </c>
      <c r="I168" s="6">
        <v>2186.42</v>
      </c>
      <c r="J168" s="8" t="s">
        <v>30</v>
      </c>
      <c r="K168" s="12">
        <v>0.25</v>
      </c>
      <c r="L168" s="8" t="s">
        <v>27</v>
      </c>
      <c r="M168" s="8" t="s">
        <v>19</v>
      </c>
      <c r="N168" s="10" t="s">
        <v>32</v>
      </c>
      <c r="O168" s="17">
        <f xml:space="preserve"> (Tabla1[[#This Row],[Unit_Price]] - Tabla1[[#This Row],[Unit_Cost]] ) * Tabla1[[#This Row],[Quantity_Sold]]</f>
        <v>531.96000000000049</v>
      </c>
      <c r="P168" s="12">
        <f>Tabla1[[#This Row],[Profit]] / Tabla1[[#This Row],[Sales_Calculated]]</f>
        <v>8.1100611959275967E-2</v>
      </c>
      <c r="Q168" s="20">
        <f xml:space="preserve"> Tabla1[[#This Row],[Unit_Price]] * Tabla1[[#This Row],[Quantity_Sold]]</f>
        <v>6559.26</v>
      </c>
    </row>
    <row r="169" spans="1:17" x14ac:dyDescent="0.3">
      <c r="A169" s="2">
        <v>1029</v>
      </c>
      <c r="B169" s="1">
        <v>45279</v>
      </c>
      <c r="C169" s="8" t="s">
        <v>38</v>
      </c>
      <c r="D169" s="8" t="s">
        <v>15</v>
      </c>
      <c r="E169" s="6">
        <v>5694.34</v>
      </c>
      <c r="F169" s="2">
        <v>21</v>
      </c>
      <c r="G169" s="8" t="s">
        <v>26</v>
      </c>
      <c r="H169" s="6">
        <v>3085.1</v>
      </c>
      <c r="I169" s="6">
        <v>3200.75</v>
      </c>
      <c r="J169" s="8" t="s">
        <v>30</v>
      </c>
      <c r="K169" s="12">
        <v>0.21</v>
      </c>
      <c r="L169" s="8" t="s">
        <v>18</v>
      </c>
      <c r="M169" s="8" t="s">
        <v>22</v>
      </c>
      <c r="N169" s="10" t="s">
        <v>40</v>
      </c>
      <c r="O169" s="17">
        <f xml:space="preserve"> (Tabla1[[#This Row],[Unit_Price]] - Tabla1[[#This Row],[Unit_Cost]] ) * Tabla1[[#This Row],[Quantity_Sold]]</f>
        <v>2428.6500000000019</v>
      </c>
      <c r="P169" s="12">
        <f>Tabla1[[#This Row],[Profit]] / Tabla1[[#This Row],[Sales_Calculated]]</f>
        <v>3.6132156525814293E-2</v>
      </c>
      <c r="Q169" s="20">
        <f xml:space="preserve"> Tabla1[[#This Row],[Unit_Price]] * Tabla1[[#This Row],[Quantity_Sold]]</f>
        <v>67215.75</v>
      </c>
    </row>
    <row r="170" spans="1:17" x14ac:dyDescent="0.3">
      <c r="A170" s="2">
        <v>1036</v>
      </c>
      <c r="B170" s="1">
        <v>45044</v>
      </c>
      <c r="C170" s="8" t="s">
        <v>33</v>
      </c>
      <c r="D170" s="8" t="s">
        <v>21</v>
      </c>
      <c r="E170" s="6">
        <v>7739.11</v>
      </c>
      <c r="F170" s="2">
        <v>25</v>
      </c>
      <c r="G170" s="8" t="s">
        <v>16</v>
      </c>
      <c r="H170" s="6">
        <v>4037.73</v>
      </c>
      <c r="I170" s="6">
        <v>4446.45</v>
      </c>
      <c r="J170" s="8" t="s">
        <v>17</v>
      </c>
      <c r="K170" s="12">
        <v>0.09</v>
      </c>
      <c r="L170" s="8" t="s">
        <v>27</v>
      </c>
      <c r="M170" s="8" t="s">
        <v>19</v>
      </c>
      <c r="N170" s="10" t="s">
        <v>37</v>
      </c>
      <c r="O170" s="17">
        <f xml:space="preserve"> (Tabla1[[#This Row],[Unit_Price]] - Tabla1[[#This Row],[Unit_Cost]] ) * Tabla1[[#This Row],[Quantity_Sold]]</f>
        <v>10217.999999999995</v>
      </c>
      <c r="P170" s="12">
        <f>Tabla1[[#This Row],[Profit]] / Tabla1[[#This Row],[Sales_Calculated]]</f>
        <v>9.1920520864959637E-2</v>
      </c>
      <c r="Q170" s="20">
        <f xml:space="preserve"> Tabla1[[#This Row],[Unit_Price]] * Tabla1[[#This Row],[Quantity_Sold]]</f>
        <v>111161.25</v>
      </c>
    </row>
    <row r="171" spans="1:17" x14ac:dyDescent="0.3">
      <c r="A171" s="2">
        <v>1013</v>
      </c>
      <c r="B171" s="1">
        <v>45220</v>
      </c>
      <c r="C171" s="8" t="s">
        <v>24</v>
      </c>
      <c r="D171" s="8" t="s">
        <v>34</v>
      </c>
      <c r="E171" s="6">
        <v>5039.07</v>
      </c>
      <c r="F171" s="2">
        <v>20</v>
      </c>
      <c r="G171" s="8" t="s">
        <v>35</v>
      </c>
      <c r="H171" s="6">
        <v>1533.36</v>
      </c>
      <c r="I171" s="6">
        <v>1649.73999999999</v>
      </c>
      <c r="J171" s="8" t="s">
        <v>17</v>
      </c>
      <c r="K171" s="12">
        <v>0.1</v>
      </c>
      <c r="L171" s="8" t="s">
        <v>27</v>
      </c>
      <c r="M171" s="8" t="s">
        <v>19</v>
      </c>
      <c r="N171" s="10" t="s">
        <v>50</v>
      </c>
      <c r="O171" s="17">
        <f xml:space="preserve"> (Tabla1[[#This Row],[Unit_Price]] - Tabla1[[#This Row],[Unit_Cost]] ) * Tabla1[[#This Row],[Quantity_Sold]]</f>
        <v>2327.5999999998021</v>
      </c>
      <c r="P171" s="12">
        <f>Tabla1[[#This Row],[Profit]] / Tabla1[[#This Row],[Sales_Calculated]]</f>
        <v>7.0544449428389208E-2</v>
      </c>
      <c r="Q171" s="20">
        <f xml:space="preserve"> Tabla1[[#This Row],[Unit_Price]] * Tabla1[[#This Row],[Quantity_Sold]]</f>
        <v>32994.799999999799</v>
      </c>
    </row>
    <row r="172" spans="1:17" x14ac:dyDescent="0.3">
      <c r="A172" s="2">
        <v>1032</v>
      </c>
      <c r="B172" s="1">
        <v>45085</v>
      </c>
      <c r="C172" s="8" t="s">
        <v>38</v>
      </c>
      <c r="D172" s="8" t="s">
        <v>21</v>
      </c>
      <c r="E172" s="6">
        <v>219.82</v>
      </c>
      <c r="F172" s="2">
        <v>49</v>
      </c>
      <c r="G172" s="8" t="s">
        <v>35</v>
      </c>
      <c r="H172" s="6">
        <v>4812.41</v>
      </c>
      <c r="I172" s="6">
        <v>5088</v>
      </c>
      <c r="J172" s="8" t="s">
        <v>17</v>
      </c>
      <c r="K172" s="12">
        <v>0.09</v>
      </c>
      <c r="L172" s="8" t="s">
        <v>31</v>
      </c>
      <c r="M172" s="8" t="s">
        <v>19</v>
      </c>
      <c r="N172" s="10" t="s">
        <v>41</v>
      </c>
      <c r="O172" s="17">
        <f xml:space="preserve"> (Tabla1[[#This Row],[Unit_Price]] - Tabla1[[#This Row],[Unit_Cost]] ) * Tabla1[[#This Row],[Quantity_Sold]]</f>
        <v>13503.910000000007</v>
      </c>
      <c r="P172" s="12">
        <f>Tabla1[[#This Row],[Profit]] / Tabla1[[#This Row],[Sales_Calculated]]</f>
        <v>5.4164701257861665E-2</v>
      </c>
      <c r="Q172" s="20">
        <f xml:space="preserve"> Tabla1[[#This Row],[Unit_Price]] * Tabla1[[#This Row],[Quantity_Sold]]</f>
        <v>249312</v>
      </c>
    </row>
    <row r="173" spans="1:17" x14ac:dyDescent="0.3">
      <c r="A173" s="2">
        <v>1071</v>
      </c>
      <c r="B173" s="1">
        <v>45229</v>
      </c>
      <c r="C173" s="8" t="s">
        <v>42</v>
      </c>
      <c r="D173" s="8" t="s">
        <v>21</v>
      </c>
      <c r="E173" s="6">
        <v>189.48</v>
      </c>
      <c r="F173" s="2">
        <v>22</v>
      </c>
      <c r="G173" s="8" t="s">
        <v>35</v>
      </c>
      <c r="H173" s="6">
        <v>2701.39</v>
      </c>
      <c r="I173" s="6">
        <v>3185.81</v>
      </c>
      <c r="J173" s="8" t="s">
        <v>30</v>
      </c>
      <c r="K173" s="12">
        <v>0.01</v>
      </c>
      <c r="L173" s="8" t="s">
        <v>27</v>
      </c>
      <c r="M173" s="8" t="s">
        <v>19</v>
      </c>
      <c r="N173" s="10" t="s">
        <v>51</v>
      </c>
      <c r="O173" s="17">
        <f xml:space="preserve"> (Tabla1[[#This Row],[Unit_Price]] - Tabla1[[#This Row],[Unit_Cost]] ) * Tabla1[[#This Row],[Quantity_Sold]]</f>
        <v>10657.240000000002</v>
      </c>
      <c r="P173" s="12">
        <f>Tabla1[[#This Row],[Profit]] / Tabla1[[#This Row],[Sales_Calculated]]</f>
        <v>0.15205552120182941</v>
      </c>
      <c r="Q173" s="20">
        <f xml:space="preserve"> Tabla1[[#This Row],[Unit_Price]] * Tabla1[[#This Row],[Quantity_Sold]]</f>
        <v>70087.819999999992</v>
      </c>
    </row>
    <row r="174" spans="1:17" x14ac:dyDescent="0.3">
      <c r="A174" s="2">
        <v>1059</v>
      </c>
      <c r="B174" s="1">
        <v>45154</v>
      </c>
      <c r="C174" s="8" t="s">
        <v>42</v>
      </c>
      <c r="D174" s="8" t="s">
        <v>21</v>
      </c>
      <c r="E174" s="6">
        <v>3634.59</v>
      </c>
      <c r="F174" s="2">
        <v>21</v>
      </c>
      <c r="G174" s="8" t="s">
        <v>29</v>
      </c>
      <c r="H174" s="6">
        <v>3110.54</v>
      </c>
      <c r="I174" s="6">
        <v>3192.99</v>
      </c>
      <c r="J174" s="8" t="s">
        <v>30</v>
      </c>
      <c r="K174" s="12">
        <v>0.17</v>
      </c>
      <c r="L174" s="8" t="s">
        <v>31</v>
      </c>
      <c r="M174" s="8" t="s">
        <v>19</v>
      </c>
      <c r="N174" s="10" t="s">
        <v>51</v>
      </c>
      <c r="O174" s="17">
        <f xml:space="preserve"> (Tabla1[[#This Row],[Unit_Price]] - Tabla1[[#This Row],[Unit_Cost]] ) * Tabla1[[#This Row],[Quantity_Sold]]</f>
        <v>1731.4499999999962</v>
      </c>
      <c r="P174" s="12">
        <f>Tabla1[[#This Row],[Profit]] / Tabla1[[#This Row],[Sales_Calculated]]</f>
        <v>2.5822191738777707E-2</v>
      </c>
      <c r="Q174" s="20">
        <f xml:space="preserve"> Tabla1[[#This Row],[Unit_Price]] * Tabla1[[#This Row],[Quantity_Sold]]</f>
        <v>67052.789999999994</v>
      </c>
    </row>
    <row r="175" spans="1:17" x14ac:dyDescent="0.3">
      <c r="A175" s="2">
        <v>1086</v>
      </c>
      <c r="B175" s="1">
        <v>45291</v>
      </c>
      <c r="C175" s="8" t="s">
        <v>42</v>
      </c>
      <c r="D175" s="8" t="s">
        <v>25</v>
      </c>
      <c r="E175" s="6">
        <v>9269.32</v>
      </c>
      <c r="F175" s="2">
        <v>33</v>
      </c>
      <c r="G175" s="8" t="s">
        <v>29</v>
      </c>
      <c r="H175" s="6">
        <v>3419.33</v>
      </c>
      <c r="I175" s="6">
        <v>3890.3599999999901</v>
      </c>
      <c r="J175" s="8" t="s">
        <v>17</v>
      </c>
      <c r="K175" s="12">
        <v>0.21</v>
      </c>
      <c r="L175" s="8" t="s">
        <v>18</v>
      </c>
      <c r="M175" s="8" t="s">
        <v>22</v>
      </c>
      <c r="N175" s="10" t="s">
        <v>43</v>
      </c>
      <c r="O175" s="17">
        <f xml:space="preserve"> (Tabla1[[#This Row],[Unit_Price]] - Tabla1[[#This Row],[Unit_Cost]] ) * Tabla1[[#This Row],[Quantity_Sold]]</f>
        <v>15543.989999999676</v>
      </c>
      <c r="P175" s="12">
        <f>Tabla1[[#This Row],[Profit]] / Tabla1[[#This Row],[Sales_Calculated]]</f>
        <v>0.12107619860372598</v>
      </c>
      <c r="Q175" s="20">
        <f xml:space="preserve"> Tabla1[[#This Row],[Unit_Price]] * Tabla1[[#This Row],[Quantity_Sold]]</f>
        <v>128381.87999999967</v>
      </c>
    </row>
    <row r="176" spans="1:17" x14ac:dyDescent="0.3">
      <c r="A176" s="2">
        <v>1028</v>
      </c>
      <c r="B176" s="1">
        <v>45142</v>
      </c>
      <c r="C176" s="8" t="s">
        <v>42</v>
      </c>
      <c r="D176" s="8" t="s">
        <v>15</v>
      </c>
      <c r="E176" s="6">
        <v>2363.9</v>
      </c>
      <c r="F176" s="2">
        <v>38</v>
      </c>
      <c r="G176" s="8" t="s">
        <v>29</v>
      </c>
      <c r="H176" s="6">
        <v>3350.32</v>
      </c>
      <c r="I176" s="6">
        <v>3449.94</v>
      </c>
      <c r="J176" s="8" t="s">
        <v>30</v>
      </c>
      <c r="K176" s="12">
        <v>0.26</v>
      </c>
      <c r="L176" s="8" t="s">
        <v>18</v>
      </c>
      <c r="M176" s="8" t="s">
        <v>19</v>
      </c>
      <c r="N176" s="10" t="s">
        <v>49</v>
      </c>
      <c r="O176" s="17">
        <f xml:space="preserve"> (Tabla1[[#This Row],[Unit_Price]] - Tabla1[[#This Row],[Unit_Cost]] ) * Tabla1[[#This Row],[Quantity_Sold]]</f>
        <v>3785.5599999999959</v>
      </c>
      <c r="P176" s="12">
        <f>Tabla1[[#This Row],[Profit]] / Tabla1[[#This Row],[Sales_Calculated]]</f>
        <v>2.887586450778851E-2</v>
      </c>
      <c r="Q176" s="20">
        <f xml:space="preserve"> Tabla1[[#This Row],[Unit_Price]] * Tabla1[[#This Row],[Quantity_Sold]]</f>
        <v>131097.72</v>
      </c>
    </row>
    <row r="177" spans="1:17" x14ac:dyDescent="0.3">
      <c r="A177" s="2">
        <v>1066</v>
      </c>
      <c r="B177" s="1">
        <v>45110</v>
      </c>
      <c r="C177" s="8" t="s">
        <v>33</v>
      </c>
      <c r="D177" s="8" t="s">
        <v>15</v>
      </c>
      <c r="E177" s="6">
        <v>6380.2</v>
      </c>
      <c r="F177" s="2">
        <v>15</v>
      </c>
      <c r="G177" s="8" t="s">
        <v>16</v>
      </c>
      <c r="H177" s="6">
        <v>2579.31</v>
      </c>
      <c r="I177" s="6">
        <v>2867.36</v>
      </c>
      <c r="J177" s="8" t="s">
        <v>17</v>
      </c>
      <c r="K177" s="12">
        <v>0.04</v>
      </c>
      <c r="L177" s="8" t="s">
        <v>27</v>
      </c>
      <c r="M177" s="8" t="s">
        <v>22</v>
      </c>
      <c r="N177" s="10" t="s">
        <v>53</v>
      </c>
      <c r="O177" s="17">
        <f xml:space="preserve"> (Tabla1[[#This Row],[Unit_Price]] - Tabla1[[#This Row],[Unit_Cost]] ) * Tabla1[[#This Row],[Quantity_Sold]]</f>
        <v>4320.7500000000027</v>
      </c>
      <c r="P177" s="12">
        <f>Tabla1[[#This Row],[Profit]] / Tabla1[[#This Row],[Sales_Calculated]]</f>
        <v>0.10045826125774238</v>
      </c>
      <c r="Q177" s="20">
        <f xml:space="preserve"> Tabla1[[#This Row],[Unit_Price]] * Tabla1[[#This Row],[Quantity_Sold]]</f>
        <v>43010.400000000001</v>
      </c>
    </row>
    <row r="178" spans="1:17" x14ac:dyDescent="0.3">
      <c r="A178" s="2">
        <v>1042</v>
      </c>
      <c r="B178" s="1">
        <v>44941</v>
      </c>
      <c r="C178" s="8" t="s">
        <v>24</v>
      </c>
      <c r="D178" s="8" t="s">
        <v>25</v>
      </c>
      <c r="E178" s="6">
        <v>2298.5500000000002</v>
      </c>
      <c r="F178" s="2">
        <v>46</v>
      </c>
      <c r="G178" s="8" t="s">
        <v>16</v>
      </c>
      <c r="H178" s="6">
        <v>2172.38</v>
      </c>
      <c r="I178" s="6">
        <v>2367.11</v>
      </c>
      <c r="J178" s="8" t="s">
        <v>30</v>
      </c>
      <c r="K178" s="12">
        <v>0.16</v>
      </c>
      <c r="L178" s="8" t="s">
        <v>18</v>
      </c>
      <c r="M178" s="8" t="s">
        <v>22</v>
      </c>
      <c r="N178" s="10" t="s">
        <v>28</v>
      </c>
      <c r="O178" s="17">
        <f xml:space="preserve"> (Tabla1[[#This Row],[Unit_Price]] - Tabla1[[#This Row],[Unit_Cost]] ) * Tabla1[[#This Row],[Quantity_Sold]]</f>
        <v>8957.5800000000017</v>
      </c>
      <c r="P178" s="12">
        <f>Tabla1[[#This Row],[Profit]] / Tabla1[[#This Row],[Sales_Calculated]]</f>
        <v>8.2264871509984752E-2</v>
      </c>
      <c r="Q178" s="20">
        <f xml:space="preserve"> Tabla1[[#This Row],[Unit_Price]] * Tabla1[[#This Row],[Quantity_Sold]]</f>
        <v>108887.06000000001</v>
      </c>
    </row>
    <row r="179" spans="1:17" x14ac:dyDescent="0.3">
      <c r="A179" s="2">
        <v>1045</v>
      </c>
      <c r="B179" s="1">
        <v>45083</v>
      </c>
      <c r="C179" s="8" t="s">
        <v>14</v>
      </c>
      <c r="D179" s="8" t="s">
        <v>25</v>
      </c>
      <c r="E179" s="6">
        <v>3284.53</v>
      </c>
      <c r="F179" s="2">
        <v>15</v>
      </c>
      <c r="G179" s="8" t="s">
        <v>35</v>
      </c>
      <c r="H179" s="6">
        <v>316.22000000000003</v>
      </c>
      <c r="I179" s="6">
        <v>799.04</v>
      </c>
      <c r="J179" s="8" t="s">
        <v>30</v>
      </c>
      <c r="K179" s="12">
        <v>0</v>
      </c>
      <c r="L179" s="8" t="s">
        <v>27</v>
      </c>
      <c r="M179" s="8" t="s">
        <v>19</v>
      </c>
      <c r="N179" s="10" t="s">
        <v>32</v>
      </c>
      <c r="O179" s="17">
        <f xml:space="preserve"> (Tabla1[[#This Row],[Unit_Price]] - Tabla1[[#This Row],[Unit_Cost]] ) * Tabla1[[#This Row],[Quantity_Sold]]</f>
        <v>7242.2999999999993</v>
      </c>
      <c r="P179" s="12">
        <f>Tabla1[[#This Row],[Profit]] / Tabla1[[#This Row],[Sales_Calculated]]</f>
        <v>0.60425010012014424</v>
      </c>
      <c r="Q179" s="20">
        <f xml:space="preserve"> Tabla1[[#This Row],[Unit_Price]] * Tabla1[[#This Row],[Quantity_Sold]]</f>
        <v>11985.599999999999</v>
      </c>
    </row>
    <row r="180" spans="1:17" x14ac:dyDescent="0.3">
      <c r="A180" s="2">
        <v>1062</v>
      </c>
      <c r="B180" s="1">
        <v>45062</v>
      </c>
      <c r="C180" s="8" t="s">
        <v>33</v>
      </c>
      <c r="D180" s="8" t="s">
        <v>15</v>
      </c>
      <c r="E180" s="6">
        <v>8495.6200000000008</v>
      </c>
      <c r="F180" s="2">
        <v>46</v>
      </c>
      <c r="G180" s="8" t="s">
        <v>16</v>
      </c>
      <c r="H180" s="6">
        <v>159.32</v>
      </c>
      <c r="I180" s="6">
        <v>303.36</v>
      </c>
      <c r="J180" s="8" t="s">
        <v>30</v>
      </c>
      <c r="K180" s="12">
        <v>0.03</v>
      </c>
      <c r="L180" s="8" t="s">
        <v>18</v>
      </c>
      <c r="M180" s="8" t="s">
        <v>22</v>
      </c>
      <c r="N180" s="10" t="s">
        <v>53</v>
      </c>
      <c r="O180" s="17">
        <f xml:space="preserve"> (Tabla1[[#This Row],[Unit_Price]] - Tabla1[[#This Row],[Unit_Cost]] ) * Tabla1[[#This Row],[Quantity_Sold]]</f>
        <v>6625.8400000000011</v>
      </c>
      <c r="P180" s="12">
        <f>Tabla1[[#This Row],[Profit]] / Tabla1[[#This Row],[Sales_Calculated]]</f>
        <v>0.47481540084388191</v>
      </c>
      <c r="Q180" s="20">
        <f xml:space="preserve"> Tabla1[[#This Row],[Unit_Price]] * Tabla1[[#This Row],[Quantity_Sold]]</f>
        <v>13954.560000000001</v>
      </c>
    </row>
    <row r="181" spans="1:17" x14ac:dyDescent="0.3">
      <c r="A181" s="2">
        <v>1057</v>
      </c>
      <c r="B181" s="1">
        <v>45187</v>
      </c>
      <c r="C181" s="8" t="s">
        <v>33</v>
      </c>
      <c r="D181" s="8" t="s">
        <v>21</v>
      </c>
      <c r="E181" s="6">
        <v>7315.73</v>
      </c>
      <c r="F181" s="2">
        <v>25</v>
      </c>
      <c r="G181" s="8" t="s">
        <v>26</v>
      </c>
      <c r="H181" s="6">
        <v>1821.91</v>
      </c>
      <c r="I181" s="6">
        <v>2027.74</v>
      </c>
      <c r="J181" s="8" t="s">
        <v>30</v>
      </c>
      <c r="K181" s="12">
        <v>0.02</v>
      </c>
      <c r="L181" s="8" t="s">
        <v>27</v>
      </c>
      <c r="M181" s="8" t="s">
        <v>22</v>
      </c>
      <c r="N181" s="10" t="s">
        <v>37</v>
      </c>
      <c r="O181" s="17">
        <f xml:space="preserve"> (Tabla1[[#This Row],[Unit_Price]] - Tabla1[[#This Row],[Unit_Cost]] ) * Tabla1[[#This Row],[Quantity_Sold]]</f>
        <v>5145.7499999999982</v>
      </c>
      <c r="P181" s="12">
        <f>Tabla1[[#This Row],[Profit]] / Tabla1[[#This Row],[Sales_Calculated]]</f>
        <v>0.10150709657056621</v>
      </c>
      <c r="Q181" s="20">
        <f xml:space="preserve"> Tabla1[[#This Row],[Unit_Price]] * Tabla1[[#This Row],[Quantity_Sold]]</f>
        <v>50693.5</v>
      </c>
    </row>
    <row r="182" spans="1:17" x14ac:dyDescent="0.3">
      <c r="A182" s="2">
        <v>1006</v>
      </c>
      <c r="B182" s="1">
        <v>45083</v>
      </c>
      <c r="C182" s="8" t="s">
        <v>14</v>
      </c>
      <c r="D182" s="8" t="s">
        <v>34</v>
      </c>
      <c r="E182" s="6">
        <v>1044.45</v>
      </c>
      <c r="F182" s="2">
        <v>21</v>
      </c>
      <c r="G182" s="8" t="s">
        <v>35</v>
      </c>
      <c r="H182" s="6">
        <v>1701.62</v>
      </c>
      <c r="I182" s="6">
        <v>2193.2199999999998</v>
      </c>
      <c r="J182" s="8" t="s">
        <v>30</v>
      </c>
      <c r="K182" s="12">
        <v>0.22</v>
      </c>
      <c r="L182" s="8" t="s">
        <v>27</v>
      </c>
      <c r="M182" s="8" t="s">
        <v>22</v>
      </c>
      <c r="N182" s="10" t="s">
        <v>46</v>
      </c>
      <c r="O182" s="17">
        <f xml:space="preserve"> (Tabla1[[#This Row],[Unit_Price]] - Tabla1[[#This Row],[Unit_Cost]] ) * Tabla1[[#This Row],[Quantity_Sold]]</f>
        <v>10323.599999999999</v>
      </c>
      <c r="P182" s="12">
        <f>Tabla1[[#This Row],[Profit]] / Tabla1[[#This Row],[Sales_Calculated]]</f>
        <v>0.22414532057887487</v>
      </c>
      <c r="Q182" s="20">
        <f xml:space="preserve"> Tabla1[[#This Row],[Unit_Price]] * Tabla1[[#This Row],[Quantity_Sold]]</f>
        <v>46057.619999999995</v>
      </c>
    </row>
    <row r="183" spans="1:17" x14ac:dyDescent="0.3">
      <c r="A183" s="2">
        <v>1028</v>
      </c>
      <c r="B183" s="1">
        <v>44973</v>
      </c>
      <c r="C183" s="8" t="s">
        <v>14</v>
      </c>
      <c r="D183" s="8" t="s">
        <v>34</v>
      </c>
      <c r="E183" s="6">
        <v>4344.1499999999996</v>
      </c>
      <c r="F183" s="2">
        <v>24</v>
      </c>
      <c r="G183" s="8" t="s">
        <v>35</v>
      </c>
      <c r="H183" s="6">
        <v>1969.09</v>
      </c>
      <c r="I183" s="6">
        <v>2241.96</v>
      </c>
      <c r="J183" s="8" t="s">
        <v>17</v>
      </c>
      <c r="K183" s="12">
        <v>0.02</v>
      </c>
      <c r="L183" s="8" t="s">
        <v>31</v>
      </c>
      <c r="M183" s="8" t="s">
        <v>19</v>
      </c>
      <c r="N183" s="10" t="s">
        <v>46</v>
      </c>
      <c r="O183" s="17">
        <f xml:space="preserve"> (Tabla1[[#This Row],[Unit_Price]] - Tabla1[[#This Row],[Unit_Cost]] ) * Tabla1[[#This Row],[Quantity_Sold]]</f>
        <v>6548.8800000000028</v>
      </c>
      <c r="P183" s="12">
        <f>Tabla1[[#This Row],[Profit]] / Tabla1[[#This Row],[Sales_Calculated]]</f>
        <v>0.12171046762654111</v>
      </c>
      <c r="Q183" s="20">
        <f xml:space="preserve"> Tabla1[[#This Row],[Unit_Price]] * Tabla1[[#This Row],[Quantity_Sold]]</f>
        <v>53807.040000000001</v>
      </c>
    </row>
    <row r="184" spans="1:17" x14ac:dyDescent="0.3">
      <c r="A184" s="2">
        <v>1028</v>
      </c>
      <c r="B184" s="1">
        <v>45250</v>
      </c>
      <c r="C184" s="8" t="s">
        <v>42</v>
      </c>
      <c r="D184" s="8" t="s">
        <v>34</v>
      </c>
      <c r="E184" s="6">
        <v>388.78</v>
      </c>
      <c r="F184" s="2">
        <v>5</v>
      </c>
      <c r="G184" s="8" t="s">
        <v>26</v>
      </c>
      <c r="H184" s="6">
        <v>734.92</v>
      </c>
      <c r="I184" s="6">
        <v>991.21</v>
      </c>
      <c r="J184" s="8" t="s">
        <v>17</v>
      </c>
      <c r="K184" s="12">
        <v>0.21</v>
      </c>
      <c r="L184" s="8" t="s">
        <v>31</v>
      </c>
      <c r="M184" s="8" t="s">
        <v>19</v>
      </c>
      <c r="N184" s="10" t="s">
        <v>52</v>
      </c>
      <c r="O184" s="17">
        <f xml:space="preserve"> (Tabla1[[#This Row],[Unit_Price]] - Tabla1[[#This Row],[Unit_Cost]] ) * Tabla1[[#This Row],[Quantity_Sold]]</f>
        <v>1281.4500000000003</v>
      </c>
      <c r="P184" s="12">
        <f>Tabla1[[#This Row],[Profit]] / Tabla1[[#This Row],[Sales_Calculated]]</f>
        <v>0.25856276671946415</v>
      </c>
      <c r="Q184" s="20">
        <f xml:space="preserve"> Tabla1[[#This Row],[Unit_Price]] * Tabla1[[#This Row],[Quantity_Sold]]</f>
        <v>4956.05</v>
      </c>
    </row>
    <row r="185" spans="1:17" x14ac:dyDescent="0.3">
      <c r="A185" s="2">
        <v>1044</v>
      </c>
      <c r="B185" s="1">
        <v>45258</v>
      </c>
      <c r="C185" s="8" t="s">
        <v>33</v>
      </c>
      <c r="D185" s="8" t="s">
        <v>21</v>
      </c>
      <c r="E185" s="6">
        <v>4860.8100000000004</v>
      </c>
      <c r="F185" s="2">
        <v>6</v>
      </c>
      <c r="G185" s="8" t="s">
        <v>35</v>
      </c>
      <c r="H185" s="6">
        <v>3703.93</v>
      </c>
      <c r="I185" s="6">
        <v>3840.24</v>
      </c>
      <c r="J185" s="8" t="s">
        <v>30</v>
      </c>
      <c r="K185" s="12">
        <v>7.0000000000000007E-2</v>
      </c>
      <c r="L185" s="8" t="s">
        <v>31</v>
      </c>
      <c r="M185" s="8" t="s">
        <v>19</v>
      </c>
      <c r="N185" s="10" t="s">
        <v>37</v>
      </c>
      <c r="O185" s="17">
        <f xml:space="preserve"> (Tabla1[[#This Row],[Unit_Price]] - Tabla1[[#This Row],[Unit_Cost]] ) * Tabla1[[#This Row],[Quantity_Sold]]</f>
        <v>817.85999999999967</v>
      </c>
      <c r="P185" s="12">
        <f>Tabla1[[#This Row],[Profit]] / Tabla1[[#This Row],[Sales_Calculated]]</f>
        <v>3.5495177384746772E-2</v>
      </c>
      <c r="Q185" s="20">
        <f xml:space="preserve"> Tabla1[[#This Row],[Unit_Price]] * Tabla1[[#This Row],[Quantity_Sold]]</f>
        <v>23041.439999999999</v>
      </c>
    </row>
    <row r="186" spans="1:17" x14ac:dyDescent="0.3">
      <c r="A186" s="2">
        <v>1084</v>
      </c>
      <c r="B186" s="1">
        <v>45099</v>
      </c>
      <c r="C186" s="8" t="s">
        <v>38</v>
      </c>
      <c r="D186" s="8" t="s">
        <v>15</v>
      </c>
      <c r="E186" s="6">
        <v>6658.1</v>
      </c>
      <c r="F186" s="2">
        <v>49</v>
      </c>
      <c r="G186" s="8" t="s">
        <v>16</v>
      </c>
      <c r="H186" s="6">
        <v>4291.97</v>
      </c>
      <c r="I186" s="6">
        <v>4645.6400000000003</v>
      </c>
      <c r="J186" s="8" t="s">
        <v>17</v>
      </c>
      <c r="K186" s="12">
        <v>0.26</v>
      </c>
      <c r="L186" s="8" t="s">
        <v>31</v>
      </c>
      <c r="M186" s="8" t="s">
        <v>19</v>
      </c>
      <c r="N186" s="10" t="s">
        <v>40</v>
      </c>
      <c r="O186" s="17">
        <f xml:space="preserve"> (Tabla1[[#This Row],[Unit_Price]] - Tabla1[[#This Row],[Unit_Cost]] ) * Tabla1[[#This Row],[Quantity_Sold]]</f>
        <v>17329.830000000002</v>
      </c>
      <c r="P186" s="12">
        <f>Tabla1[[#This Row],[Profit]] / Tabla1[[#This Row],[Sales_Calculated]]</f>
        <v>7.6129446104304249E-2</v>
      </c>
      <c r="Q186" s="20">
        <f xml:space="preserve"> Tabla1[[#This Row],[Unit_Price]] * Tabla1[[#This Row],[Quantity_Sold]]</f>
        <v>227636.36000000002</v>
      </c>
    </row>
    <row r="187" spans="1:17" x14ac:dyDescent="0.3">
      <c r="A187" s="2">
        <v>1030</v>
      </c>
      <c r="B187" s="1">
        <v>45056</v>
      </c>
      <c r="C187" s="8" t="s">
        <v>14</v>
      </c>
      <c r="D187" s="8" t="s">
        <v>25</v>
      </c>
      <c r="E187" s="6">
        <v>1273.18</v>
      </c>
      <c r="F187" s="2">
        <v>43</v>
      </c>
      <c r="G187" s="8" t="s">
        <v>29</v>
      </c>
      <c r="H187" s="6">
        <v>4696.6400000000003</v>
      </c>
      <c r="I187" s="6">
        <v>4713.68</v>
      </c>
      <c r="J187" s="8" t="s">
        <v>17</v>
      </c>
      <c r="K187" s="12">
        <v>0.24</v>
      </c>
      <c r="L187" s="8" t="s">
        <v>27</v>
      </c>
      <c r="M187" s="8" t="s">
        <v>19</v>
      </c>
      <c r="N187" s="10" t="s">
        <v>32</v>
      </c>
      <c r="O187" s="17">
        <f xml:space="preserve"> (Tabla1[[#This Row],[Unit_Price]] - Tabla1[[#This Row],[Unit_Cost]] ) * Tabla1[[#This Row],[Quantity_Sold]]</f>
        <v>732.71999999999844</v>
      </c>
      <c r="P187" s="12">
        <f>Tabla1[[#This Row],[Profit]] / Tabla1[[#This Row],[Sales_Calculated]]</f>
        <v>3.6150099285483872E-3</v>
      </c>
      <c r="Q187" s="20">
        <f xml:space="preserve"> Tabla1[[#This Row],[Unit_Price]] * Tabla1[[#This Row],[Quantity_Sold]]</f>
        <v>202688.24000000002</v>
      </c>
    </row>
    <row r="188" spans="1:17" x14ac:dyDescent="0.3">
      <c r="A188" s="2">
        <v>1062</v>
      </c>
      <c r="B188" s="1">
        <v>45021</v>
      </c>
      <c r="C188" s="8" t="s">
        <v>14</v>
      </c>
      <c r="D188" s="8" t="s">
        <v>15</v>
      </c>
      <c r="E188" s="6">
        <v>2959.96</v>
      </c>
      <c r="F188" s="2">
        <v>48</v>
      </c>
      <c r="G188" s="8" t="s">
        <v>26</v>
      </c>
      <c r="H188" s="6">
        <v>2487.19</v>
      </c>
      <c r="I188" s="6">
        <v>2521.4499999999998</v>
      </c>
      <c r="J188" s="8" t="s">
        <v>30</v>
      </c>
      <c r="K188" s="12">
        <v>0.28999999999999998</v>
      </c>
      <c r="L188" s="8" t="s">
        <v>18</v>
      </c>
      <c r="M188" s="8" t="s">
        <v>19</v>
      </c>
      <c r="N188" s="10" t="s">
        <v>20</v>
      </c>
      <c r="O188" s="17">
        <f xml:space="preserve"> (Tabla1[[#This Row],[Unit_Price]] - Tabla1[[#This Row],[Unit_Cost]] ) * Tabla1[[#This Row],[Quantity_Sold]]</f>
        <v>1644.4799999999886</v>
      </c>
      <c r="P188" s="12">
        <f>Tabla1[[#This Row],[Profit]] / Tabla1[[#This Row],[Sales_Calculated]]</f>
        <v>1.3587419936940954E-2</v>
      </c>
      <c r="Q188" s="20">
        <f xml:space="preserve"> Tabla1[[#This Row],[Unit_Price]] * Tabla1[[#This Row],[Quantity_Sold]]</f>
        <v>121029.59999999999</v>
      </c>
    </row>
    <row r="189" spans="1:17" x14ac:dyDescent="0.3">
      <c r="A189" s="2">
        <v>1075</v>
      </c>
      <c r="B189" s="1">
        <v>45041</v>
      </c>
      <c r="C189" s="8" t="s">
        <v>24</v>
      </c>
      <c r="D189" s="8" t="s">
        <v>21</v>
      </c>
      <c r="E189" s="6">
        <v>4038.58</v>
      </c>
      <c r="F189" s="2">
        <v>44</v>
      </c>
      <c r="G189" s="8" t="s">
        <v>16</v>
      </c>
      <c r="H189" s="6">
        <v>3519.29</v>
      </c>
      <c r="I189" s="6">
        <v>3822.98</v>
      </c>
      <c r="J189" s="8" t="s">
        <v>17</v>
      </c>
      <c r="K189" s="12">
        <v>0.27</v>
      </c>
      <c r="L189" s="8" t="s">
        <v>27</v>
      </c>
      <c r="M189" s="8" t="s">
        <v>19</v>
      </c>
      <c r="N189" s="10" t="s">
        <v>47</v>
      </c>
      <c r="O189" s="17">
        <f xml:space="preserve"> (Tabla1[[#This Row],[Unit_Price]] - Tabla1[[#This Row],[Unit_Cost]] ) * Tabla1[[#This Row],[Quantity_Sold]]</f>
        <v>13362.360000000002</v>
      </c>
      <c r="P189" s="12">
        <f>Tabla1[[#This Row],[Profit]] / Tabla1[[#This Row],[Sales_Calculated]]</f>
        <v>7.943803001846729E-2</v>
      </c>
      <c r="Q189" s="20">
        <f xml:space="preserve"> Tabla1[[#This Row],[Unit_Price]] * Tabla1[[#This Row],[Quantity_Sold]]</f>
        <v>168211.12</v>
      </c>
    </row>
    <row r="190" spans="1:17" x14ac:dyDescent="0.3">
      <c r="A190" s="2">
        <v>1092</v>
      </c>
      <c r="B190" s="1">
        <v>45169</v>
      </c>
      <c r="C190" s="8" t="s">
        <v>38</v>
      </c>
      <c r="D190" s="8" t="s">
        <v>25</v>
      </c>
      <c r="E190" s="6">
        <v>9203.36</v>
      </c>
      <c r="F190" s="2">
        <v>47</v>
      </c>
      <c r="G190" s="8" t="s">
        <v>26</v>
      </c>
      <c r="H190" s="6">
        <v>4284.9799999999996</v>
      </c>
      <c r="I190" s="6">
        <v>4462.3999999999996</v>
      </c>
      <c r="J190" s="8" t="s">
        <v>30</v>
      </c>
      <c r="K190" s="12">
        <v>0.28000000000000003</v>
      </c>
      <c r="L190" s="8" t="s">
        <v>31</v>
      </c>
      <c r="M190" s="8" t="s">
        <v>22</v>
      </c>
      <c r="N190" s="10" t="s">
        <v>39</v>
      </c>
      <c r="O190" s="17">
        <f xml:space="preserve"> (Tabla1[[#This Row],[Unit_Price]] - Tabla1[[#This Row],[Unit_Cost]] ) * Tabla1[[#This Row],[Quantity_Sold]]</f>
        <v>8338.7400000000034</v>
      </c>
      <c r="P190" s="12">
        <f>Tabla1[[#This Row],[Profit]] / Tabla1[[#This Row],[Sales_Calculated]]</f>
        <v>3.9758874148440322E-2</v>
      </c>
      <c r="Q190" s="20">
        <f xml:space="preserve"> Tabla1[[#This Row],[Unit_Price]] * Tabla1[[#This Row],[Quantity_Sold]]</f>
        <v>209732.8</v>
      </c>
    </row>
    <row r="191" spans="1:17" x14ac:dyDescent="0.3">
      <c r="A191" s="2">
        <v>1089</v>
      </c>
      <c r="B191" s="1">
        <v>45218</v>
      </c>
      <c r="C191" s="8" t="s">
        <v>38</v>
      </c>
      <c r="D191" s="8" t="s">
        <v>21</v>
      </c>
      <c r="E191" s="6">
        <v>9933.2199999999993</v>
      </c>
      <c r="F191" s="2">
        <v>23</v>
      </c>
      <c r="G191" s="8" t="s">
        <v>26</v>
      </c>
      <c r="H191" s="6">
        <v>2120.54</v>
      </c>
      <c r="I191" s="6">
        <v>2597.67</v>
      </c>
      <c r="J191" s="8" t="s">
        <v>17</v>
      </c>
      <c r="K191" s="12">
        <v>0.26</v>
      </c>
      <c r="L191" s="8" t="s">
        <v>31</v>
      </c>
      <c r="M191" s="8" t="s">
        <v>22</v>
      </c>
      <c r="N191" s="10" t="s">
        <v>41</v>
      </c>
      <c r="O191" s="17">
        <f xml:space="preserve"> (Tabla1[[#This Row],[Unit_Price]] - Tabla1[[#This Row],[Unit_Cost]] ) * Tabla1[[#This Row],[Quantity_Sold]]</f>
        <v>10973.990000000002</v>
      </c>
      <c r="P191" s="12">
        <f>Tabla1[[#This Row],[Profit]] / Tabla1[[#This Row],[Sales_Calculated]]</f>
        <v>0.18367614054133127</v>
      </c>
      <c r="Q191" s="20">
        <f xml:space="preserve"> Tabla1[[#This Row],[Unit_Price]] * Tabla1[[#This Row],[Quantity_Sold]]</f>
        <v>59746.41</v>
      </c>
    </row>
    <row r="192" spans="1:17" x14ac:dyDescent="0.3">
      <c r="A192" s="2">
        <v>1062</v>
      </c>
      <c r="B192" s="1">
        <v>45208</v>
      </c>
      <c r="C192" s="8" t="s">
        <v>14</v>
      </c>
      <c r="D192" s="8" t="s">
        <v>34</v>
      </c>
      <c r="E192" s="6">
        <v>544.62</v>
      </c>
      <c r="F192" s="2">
        <v>4</v>
      </c>
      <c r="G192" s="8" t="s">
        <v>35</v>
      </c>
      <c r="H192" s="6">
        <v>1581.59</v>
      </c>
      <c r="I192" s="6">
        <v>2034.1499999999901</v>
      </c>
      <c r="J192" s="8" t="s">
        <v>17</v>
      </c>
      <c r="K192" s="12">
        <v>0.21</v>
      </c>
      <c r="L192" s="8" t="s">
        <v>18</v>
      </c>
      <c r="M192" s="8" t="s">
        <v>19</v>
      </c>
      <c r="N192" s="10" t="s">
        <v>46</v>
      </c>
      <c r="O192" s="17">
        <f xml:space="preserve"> (Tabla1[[#This Row],[Unit_Price]] - Tabla1[[#This Row],[Unit_Cost]] ) * Tabla1[[#This Row],[Quantity_Sold]]</f>
        <v>1810.2399999999607</v>
      </c>
      <c r="P192" s="12">
        <f>Tabla1[[#This Row],[Profit]] / Tabla1[[#This Row],[Sales_Calculated]]</f>
        <v>0.22248113462625291</v>
      </c>
      <c r="Q192" s="20">
        <f xml:space="preserve"> Tabla1[[#This Row],[Unit_Price]] * Tabla1[[#This Row],[Quantity_Sold]]</f>
        <v>8136.5999999999603</v>
      </c>
    </row>
    <row r="193" spans="1:17" x14ac:dyDescent="0.3">
      <c r="A193" s="2">
        <v>1097</v>
      </c>
      <c r="B193" s="1">
        <v>45225</v>
      </c>
      <c r="C193" s="8" t="s">
        <v>42</v>
      </c>
      <c r="D193" s="8" t="s">
        <v>34</v>
      </c>
      <c r="E193" s="6">
        <v>7633.98</v>
      </c>
      <c r="F193" s="2">
        <v>27</v>
      </c>
      <c r="G193" s="8" t="s">
        <v>35</v>
      </c>
      <c r="H193" s="6">
        <v>4686.79</v>
      </c>
      <c r="I193" s="6">
        <v>5046.51</v>
      </c>
      <c r="J193" s="8" t="s">
        <v>17</v>
      </c>
      <c r="K193" s="12">
        <v>0.05</v>
      </c>
      <c r="L193" s="8" t="s">
        <v>31</v>
      </c>
      <c r="M193" s="8" t="s">
        <v>22</v>
      </c>
      <c r="N193" s="10" t="s">
        <v>52</v>
      </c>
      <c r="O193" s="17">
        <f xml:space="preserve"> (Tabla1[[#This Row],[Unit_Price]] - Tabla1[[#This Row],[Unit_Cost]] ) * Tabla1[[#This Row],[Quantity_Sold]]</f>
        <v>9712.440000000006</v>
      </c>
      <c r="P193" s="12">
        <f>Tabla1[[#This Row],[Profit]] / Tabla1[[#This Row],[Sales_Calculated]]</f>
        <v>7.1280944652839323E-2</v>
      </c>
      <c r="Q193" s="20">
        <f xml:space="preserve"> Tabla1[[#This Row],[Unit_Price]] * Tabla1[[#This Row],[Quantity_Sold]]</f>
        <v>136255.77000000002</v>
      </c>
    </row>
    <row r="194" spans="1:17" x14ac:dyDescent="0.3">
      <c r="A194" s="2">
        <v>1001</v>
      </c>
      <c r="B194" s="1">
        <v>45209</v>
      </c>
      <c r="C194" s="8" t="s">
        <v>24</v>
      </c>
      <c r="D194" s="8" t="s">
        <v>21</v>
      </c>
      <c r="E194" s="6">
        <v>3780.07</v>
      </c>
      <c r="F194" s="2">
        <v>18</v>
      </c>
      <c r="G194" s="8" t="s">
        <v>16</v>
      </c>
      <c r="H194" s="6">
        <v>2602.6</v>
      </c>
      <c r="I194" s="6">
        <v>3013.49</v>
      </c>
      <c r="J194" s="8" t="s">
        <v>17</v>
      </c>
      <c r="K194" s="12">
        <v>0.08</v>
      </c>
      <c r="L194" s="8" t="s">
        <v>27</v>
      </c>
      <c r="M194" s="8" t="s">
        <v>19</v>
      </c>
      <c r="N194" s="10" t="s">
        <v>47</v>
      </c>
      <c r="O194" s="17">
        <f xml:space="preserve"> (Tabla1[[#This Row],[Unit_Price]] - Tabla1[[#This Row],[Unit_Cost]] ) * Tabla1[[#This Row],[Quantity_Sold]]</f>
        <v>7396.0199999999977</v>
      </c>
      <c r="P194" s="12">
        <f>Tabla1[[#This Row],[Profit]] / Tabla1[[#This Row],[Sales_Calculated]]</f>
        <v>0.13635021188057697</v>
      </c>
      <c r="Q194" s="20">
        <f xml:space="preserve"> Tabla1[[#This Row],[Unit_Price]] * Tabla1[[#This Row],[Quantity_Sold]]</f>
        <v>54242.819999999992</v>
      </c>
    </row>
    <row r="195" spans="1:17" x14ac:dyDescent="0.3">
      <c r="A195" s="2">
        <v>1027</v>
      </c>
      <c r="B195" s="1">
        <v>44995</v>
      </c>
      <c r="C195" s="8" t="s">
        <v>38</v>
      </c>
      <c r="D195" s="8" t="s">
        <v>25</v>
      </c>
      <c r="E195" s="6">
        <v>3985.34</v>
      </c>
      <c r="F195" s="2">
        <v>21</v>
      </c>
      <c r="G195" s="8" t="s">
        <v>26</v>
      </c>
      <c r="H195" s="6">
        <v>2511.41</v>
      </c>
      <c r="I195" s="6">
        <v>2848.3999999999901</v>
      </c>
      <c r="J195" s="8" t="s">
        <v>17</v>
      </c>
      <c r="K195" s="12">
        <v>0.06</v>
      </c>
      <c r="L195" s="8" t="s">
        <v>27</v>
      </c>
      <c r="M195" s="8" t="s">
        <v>19</v>
      </c>
      <c r="N195" s="10" t="s">
        <v>39</v>
      </c>
      <c r="O195" s="17">
        <f xml:space="preserve"> (Tabla1[[#This Row],[Unit_Price]] - Tabla1[[#This Row],[Unit_Cost]] ) * Tabla1[[#This Row],[Quantity_Sold]]</f>
        <v>7076.7899999997953</v>
      </c>
      <c r="P195" s="12">
        <f>Tabla1[[#This Row],[Profit]] / Tabla1[[#This Row],[Sales_Calculated]]</f>
        <v>0.11830852408369311</v>
      </c>
      <c r="Q195" s="20">
        <f xml:space="preserve"> Tabla1[[#This Row],[Unit_Price]] * Tabla1[[#This Row],[Quantity_Sold]]</f>
        <v>59816.39999999979</v>
      </c>
    </row>
    <row r="196" spans="1:17" x14ac:dyDescent="0.3">
      <c r="A196" s="2">
        <v>1062</v>
      </c>
      <c r="B196" s="1">
        <v>45074</v>
      </c>
      <c r="C196" s="8" t="s">
        <v>14</v>
      </c>
      <c r="D196" s="8" t="s">
        <v>25</v>
      </c>
      <c r="E196" s="6">
        <v>7567.22</v>
      </c>
      <c r="F196" s="2">
        <v>28</v>
      </c>
      <c r="G196" s="8" t="s">
        <v>35</v>
      </c>
      <c r="H196" s="6">
        <v>933.16</v>
      </c>
      <c r="I196" s="6">
        <v>1004.69999999999</v>
      </c>
      <c r="J196" s="8" t="s">
        <v>17</v>
      </c>
      <c r="K196" s="12">
        <v>0.18</v>
      </c>
      <c r="L196" s="8" t="s">
        <v>27</v>
      </c>
      <c r="M196" s="8" t="s">
        <v>19</v>
      </c>
      <c r="N196" s="10" t="s">
        <v>32</v>
      </c>
      <c r="O196" s="17">
        <f xml:space="preserve"> (Tabla1[[#This Row],[Unit_Price]] - Tabla1[[#This Row],[Unit_Cost]] ) * Tabla1[[#This Row],[Quantity_Sold]]</f>
        <v>2003.119999999722</v>
      </c>
      <c r="P196" s="12">
        <f>Tabla1[[#This Row],[Profit]] / Tabla1[[#This Row],[Sales_Calculated]]</f>
        <v>7.1205334925839331E-2</v>
      </c>
      <c r="Q196" s="20">
        <f xml:space="preserve"> Tabla1[[#This Row],[Unit_Price]] * Tabla1[[#This Row],[Quantity_Sold]]</f>
        <v>28131.599999999722</v>
      </c>
    </row>
    <row r="197" spans="1:17" x14ac:dyDescent="0.3">
      <c r="A197" s="2">
        <v>1077</v>
      </c>
      <c r="B197" s="1">
        <v>44937</v>
      </c>
      <c r="C197" s="8" t="s">
        <v>38</v>
      </c>
      <c r="D197" s="8" t="s">
        <v>15</v>
      </c>
      <c r="E197" s="6">
        <v>9192.42</v>
      </c>
      <c r="F197" s="2">
        <v>35</v>
      </c>
      <c r="G197" s="8" t="s">
        <v>35</v>
      </c>
      <c r="H197" s="6">
        <v>585.37</v>
      </c>
      <c r="I197" s="6">
        <v>970.49</v>
      </c>
      <c r="J197" s="8" t="s">
        <v>17</v>
      </c>
      <c r="K197" s="12">
        <v>0.15</v>
      </c>
      <c r="L197" s="8" t="s">
        <v>27</v>
      </c>
      <c r="M197" s="8" t="s">
        <v>22</v>
      </c>
      <c r="N197" s="10" t="s">
        <v>40</v>
      </c>
      <c r="O197" s="17">
        <f xml:space="preserve"> (Tabla1[[#This Row],[Unit_Price]] - Tabla1[[#This Row],[Unit_Cost]] ) * Tabla1[[#This Row],[Quantity_Sold]]</f>
        <v>13479.2</v>
      </c>
      <c r="P197" s="12">
        <f>Tabla1[[#This Row],[Profit]] / Tabla1[[#This Row],[Sales_Calculated]]</f>
        <v>0.39683046708363817</v>
      </c>
      <c r="Q197" s="20">
        <f xml:space="preserve"> Tabla1[[#This Row],[Unit_Price]] * Tabla1[[#This Row],[Quantity_Sold]]</f>
        <v>33967.15</v>
      </c>
    </row>
    <row r="198" spans="1:17" x14ac:dyDescent="0.3">
      <c r="A198" s="2">
        <v>1003</v>
      </c>
      <c r="B198" s="1">
        <v>45180</v>
      </c>
      <c r="C198" s="8" t="s">
        <v>24</v>
      </c>
      <c r="D198" s="8" t="s">
        <v>34</v>
      </c>
      <c r="E198" s="6">
        <v>9514.19</v>
      </c>
      <c r="F198" s="2">
        <v>22</v>
      </c>
      <c r="G198" s="8" t="s">
        <v>26</v>
      </c>
      <c r="H198" s="6">
        <v>4218.43</v>
      </c>
      <c r="I198" s="6">
        <v>4331.42</v>
      </c>
      <c r="J198" s="8" t="s">
        <v>30</v>
      </c>
      <c r="K198" s="12">
        <v>0.26</v>
      </c>
      <c r="L198" s="8" t="s">
        <v>27</v>
      </c>
      <c r="M198" s="8" t="s">
        <v>19</v>
      </c>
      <c r="N198" s="10" t="s">
        <v>50</v>
      </c>
      <c r="O198" s="17">
        <f xml:space="preserve"> (Tabla1[[#This Row],[Unit_Price]] - Tabla1[[#This Row],[Unit_Cost]] ) * Tabla1[[#This Row],[Quantity_Sold]]</f>
        <v>2485.7799999999952</v>
      </c>
      <c r="P198" s="12">
        <f>Tabla1[[#This Row],[Profit]] / Tabla1[[#This Row],[Sales_Calculated]]</f>
        <v>2.6086133415831245E-2</v>
      </c>
      <c r="Q198" s="20">
        <f xml:space="preserve"> Tabla1[[#This Row],[Unit_Price]] * Tabla1[[#This Row],[Quantity_Sold]]</f>
        <v>95291.24</v>
      </c>
    </row>
    <row r="199" spans="1:17" x14ac:dyDescent="0.3">
      <c r="A199" s="2">
        <v>1070</v>
      </c>
      <c r="B199" s="1">
        <v>45256</v>
      </c>
      <c r="C199" s="8" t="s">
        <v>24</v>
      </c>
      <c r="D199" s="8" t="s">
        <v>15</v>
      </c>
      <c r="E199" s="6">
        <v>5813.51</v>
      </c>
      <c r="F199" s="2">
        <v>40</v>
      </c>
      <c r="G199" s="8" t="s">
        <v>16</v>
      </c>
      <c r="H199" s="6">
        <v>3089.96</v>
      </c>
      <c r="I199" s="6">
        <v>3258.45</v>
      </c>
      <c r="J199" s="8" t="s">
        <v>30</v>
      </c>
      <c r="K199" s="12">
        <v>0.28999999999999998</v>
      </c>
      <c r="L199" s="8" t="s">
        <v>18</v>
      </c>
      <c r="M199" s="8" t="s">
        <v>19</v>
      </c>
      <c r="N199" s="10" t="s">
        <v>45</v>
      </c>
      <c r="O199" s="17">
        <f xml:space="preserve"> (Tabla1[[#This Row],[Unit_Price]] - Tabla1[[#This Row],[Unit_Cost]] ) * Tabla1[[#This Row],[Quantity_Sold]]</f>
        <v>6739.5999999999913</v>
      </c>
      <c r="P199" s="12">
        <f>Tabla1[[#This Row],[Profit]] / Tabla1[[#This Row],[Sales_Calculated]]</f>
        <v>5.1708634473445897E-2</v>
      </c>
      <c r="Q199" s="20">
        <f xml:space="preserve"> Tabla1[[#This Row],[Unit_Price]] * Tabla1[[#This Row],[Quantity_Sold]]</f>
        <v>130338</v>
      </c>
    </row>
    <row r="200" spans="1:17" x14ac:dyDescent="0.3">
      <c r="A200" s="2">
        <v>1072</v>
      </c>
      <c r="B200" s="1">
        <v>45286</v>
      </c>
      <c r="C200" s="8" t="s">
        <v>33</v>
      </c>
      <c r="D200" s="8" t="s">
        <v>15</v>
      </c>
      <c r="E200" s="6">
        <v>3635.5</v>
      </c>
      <c r="F200" s="2">
        <v>23</v>
      </c>
      <c r="G200" s="8" t="s">
        <v>16</v>
      </c>
      <c r="H200" s="6">
        <v>1662.83</v>
      </c>
      <c r="I200" s="6">
        <v>2074.25</v>
      </c>
      <c r="J200" s="8" t="s">
        <v>30</v>
      </c>
      <c r="K200" s="12">
        <v>0.12</v>
      </c>
      <c r="L200" s="8" t="s">
        <v>27</v>
      </c>
      <c r="M200" s="8" t="s">
        <v>19</v>
      </c>
      <c r="N200" s="10" t="s">
        <v>53</v>
      </c>
      <c r="O200" s="17">
        <f xml:space="preserve"> (Tabla1[[#This Row],[Unit_Price]] - Tabla1[[#This Row],[Unit_Cost]] ) * Tabla1[[#This Row],[Quantity_Sold]]</f>
        <v>9462.6600000000017</v>
      </c>
      <c r="P200" s="12">
        <f>Tabla1[[#This Row],[Profit]] / Tabla1[[#This Row],[Sales_Calculated]]</f>
        <v>0.19834639026154036</v>
      </c>
      <c r="Q200" s="20">
        <f xml:space="preserve"> Tabla1[[#This Row],[Unit_Price]] * Tabla1[[#This Row],[Quantity_Sold]]</f>
        <v>47707.75</v>
      </c>
    </row>
    <row r="201" spans="1:17" x14ac:dyDescent="0.3">
      <c r="A201" s="2">
        <v>1027</v>
      </c>
      <c r="B201" s="1">
        <v>44964</v>
      </c>
      <c r="C201" s="8" t="s">
        <v>14</v>
      </c>
      <c r="D201" s="8" t="s">
        <v>21</v>
      </c>
      <c r="E201" s="6">
        <v>7896.74</v>
      </c>
      <c r="F201" s="2">
        <v>3</v>
      </c>
      <c r="G201" s="8" t="s">
        <v>26</v>
      </c>
      <c r="H201" s="6">
        <v>999.09</v>
      </c>
      <c r="I201" s="6">
        <v>1271.99</v>
      </c>
      <c r="J201" s="8" t="s">
        <v>30</v>
      </c>
      <c r="K201" s="12">
        <v>0.15</v>
      </c>
      <c r="L201" s="8" t="s">
        <v>31</v>
      </c>
      <c r="M201" s="8" t="s">
        <v>19</v>
      </c>
      <c r="N201" s="10" t="s">
        <v>23</v>
      </c>
      <c r="O201" s="17">
        <f xml:space="preserve"> (Tabla1[[#This Row],[Unit_Price]] - Tabla1[[#This Row],[Unit_Cost]] ) * Tabla1[[#This Row],[Quantity_Sold]]</f>
        <v>818.69999999999993</v>
      </c>
      <c r="P201" s="12">
        <f>Tabla1[[#This Row],[Profit]] / Tabla1[[#This Row],[Sales_Calculated]]</f>
        <v>0.21454571183735718</v>
      </c>
      <c r="Q201" s="20">
        <f xml:space="preserve"> Tabla1[[#This Row],[Unit_Price]] * Tabla1[[#This Row],[Quantity_Sold]]</f>
        <v>3815.9700000000003</v>
      </c>
    </row>
    <row r="202" spans="1:17" x14ac:dyDescent="0.3">
      <c r="A202" s="2">
        <v>1009</v>
      </c>
      <c r="B202" s="1">
        <v>45060</v>
      </c>
      <c r="C202" s="8" t="s">
        <v>24</v>
      </c>
      <c r="D202" s="8" t="s">
        <v>21</v>
      </c>
      <c r="E202" s="6">
        <v>2584.91</v>
      </c>
      <c r="F202" s="2">
        <v>40</v>
      </c>
      <c r="G202" s="8" t="s">
        <v>16</v>
      </c>
      <c r="H202" s="6">
        <v>2799.71</v>
      </c>
      <c r="I202" s="6">
        <v>3231.08</v>
      </c>
      <c r="J202" s="8" t="s">
        <v>17</v>
      </c>
      <c r="K202" s="12">
        <v>0.28999999999999998</v>
      </c>
      <c r="L202" s="8" t="s">
        <v>31</v>
      </c>
      <c r="M202" s="8" t="s">
        <v>22</v>
      </c>
      <c r="N202" s="10" t="s">
        <v>47</v>
      </c>
      <c r="O202" s="17">
        <f xml:space="preserve"> (Tabla1[[#This Row],[Unit_Price]] - Tabla1[[#This Row],[Unit_Cost]] ) * Tabla1[[#This Row],[Quantity_Sold]]</f>
        <v>17254.799999999996</v>
      </c>
      <c r="P202" s="12">
        <f>Tabla1[[#This Row],[Profit]] / Tabla1[[#This Row],[Sales_Calculated]]</f>
        <v>0.13350644366589495</v>
      </c>
      <c r="Q202" s="20">
        <f xml:space="preserve"> Tabla1[[#This Row],[Unit_Price]] * Tabla1[[#This Row],[Quantity_Sold]]</f>
        <v>129243.2</v>
      </c>
    </row>
    <row r="203" spans="1:17" x14ac:dyDescent="0.3">
      <c r="A203" s="2">
        <v>1062</v>
      </c>
      <c r="B203" s="1">
        <v>45126</v>
      </c>
      <c r="C203" s="8" t="s">
        <v>33</v>
      </c>
      <c r="D203" s="8" t="s">
        <v>15</v>
      </c>
      <c r="E203" s="6">
        <v>5684.33</v>
      </c>
      <c r="F203" s="2">
        <v>10</v>
      </c>
      <c r="G203" s="8" t="s">
        <v>35</v>
      </c>
      <c r="H203" s="6">
        <v>2940.4</v>
      </c>
      <c r="I203" s="6">
        <v>3054.79</v>
      </c>
      <c r="J203" s="8" t="s">
        <v>17</v>
      </c>
      <c r="K203" s="12">
        <v>0.08</v>
      </c>
      <c r="L203" s="8" t="s">
        <v>31</v>
      </c>
      <c r="M203" s="8" t="s">
        <v>19</v>
      </c>
      <c r="N203" s="10" t="s">
        <v>53</v>
      </c>
      <c r="O203" s="17">
        <f xml:space="preserve"> (Tabla1[[#This Row],[Unit_Price]] - Tabla1[[#This Row],[Unit_Cost]] ) * Tabla1[[#This Row],[Quantity_Sold]]</f>
        <v>1143.8999999999987</v>
      </c>
      <c r="P203" s="12">
        <f>Tabla1[[#This Row],[Profit]] / Tabla1[[#This Row],[Sales_Calculated]]</f>
        <v>3.7446109225184009E-2</v>
      </c>
      <c r="Q203" s="20">
        <f xml:space="preserve"> Tabla1[[#This Row],[Unit_Price]] * Tabla1[[#This Row],[Quantity_Sold]]</f>
        <v>30547.9</v>
      </c>
    </row>
    <row r="204" spans="1:17" x14ac:dyDescent="0.3">
      <c r="A204" s="2">
        <v>1037</v>
      </c>
      <c r="B204" s="1">
        <v>44949</v>
      </c>
      <c r="C204" s="8" t="s">
        <v>33</v>
      </c>
      <c r="D204" s="8" t="s">
        <v>34</v>
      </c>
      <c r="E204" s="6">
        <v>3649.93</v>
      </c>
      <c r="F204" s="2">
        <v>25</v>
      </c>
      <c r="G204" s="8" t="s">
        <v>26</v>
      </c>
      <c r="H204" s="6">
        <v>1074.6199999999999</v>
      </c>
      <c r="I204" s="6">
        <v>1382.4299999999901</v>
      </c>
      <c r="J204" s="8" t="s">
        <v>17</v>
      </c>
      <c r="K204" s="12">
        <v>0.24</v>
      </c>
      <c r="L204" s="8" t="s">
        <v>31</v>
      </c>
      <c r="M204" s="8" t="s">
        <v>22</v>
      </c>
      <c r="N204" s="10" t="s">
        <v>36</v>
      </c>
      <c r="O204" s="17">
        <f xml:space="preserve"> (Tabla1[[#This Row],[Unit_Price]] - Tabla1[[#This Row],[Unit_Cost]] ) * Tabla1[[#This Row],[Quantity_Sold]]</f>
        <v>7695.2499999997544</v>
      </c>
      <c r="P204" s="12">
        <f>Tabla1[[#This Row],[Profit]] / Tabla1[[#This Row],[Sales_Calculated]]</f>
        <v>0.22265865179429872</v>
      </c>
      <c r="Q204" s="20">
        <f xml:space="preserve"> Tabla1[[#This Row],[Unit_Price]] * Tabla1[[#This Row],[Quantity_Sold]]</f>
        <v>34560.749999999753</v>
      </c>
    </row>
    <row r="205" spans="1:17" x14ac:dyDescent="0.3">
      <c r="A205" s="2">
        <v>1097</v>
      </c>
      <c r="B205" s="1">
        <v>45229</v>
      </c>
      <c r="C205" s="8" t="s">
        <v>38</v>
      </c>
      <c r="D205" s="8" t="s">
        <v>21</v>
      </c>
      <c r="E205" s="6">
        <v>6600.65</v>
      </c>
      <c r="F205" s="2">
        <v>49</v>
      </c>
      <c r="G205" s="8" t="s">
        <v>35</v>
      </c>
      <c r="H205" s="6">
        <v>4264.46</v>
      </c>
      <c r="I205" s="6">
        <v>4315.5200000000004</v>
      </c>
      <c r="J205" s="8" t="s">
        <v>30</v>
      </c>
      <c r="K205" s="12">
        <v>7.0000000000000007E-2</v>
      </c>
      <c r="L205" s="8" t="s">
        <v>18</v>
      </c>
      <c r="M205" s="8" t="s">
        <v>22</v>
      </c>
      <c r="N205" s="10" t="s">
        <v>41</v>
      </c>
      <c r="O205" s="17">
        <f xml:space="preserve"> (Tabla1[[#This Row],[Unit_Price]] - Tabla1[[#This Row],[Unit_Cost]] ) * Tabla1[[#This Row],[Quantity_Sold]]</f>
        <v>2501.9400000000196</v>
      </c>
      <c r="P205" s="12">
        <f>Tabla1[[#This Row],[Profit]] / Tabla1[[#This Row],[Sales_Calculated]]</f>
        <v>1.1831714370458345E-2</v>
      </c>
      <c r="Q205" s="20">
        <f xml:space="preserve"> Tabla1[[#This Row],[Unit_Price]] * Tabla1[[#This Row],[Quantity_Sold]]</f>
        <v>211460.48000000001</v>
      </c>
    </row>
    <row r="206" spans="1:17" x14ac:dyDescent="0.3">
      <c r="A206" s="2">
        <v>1051</v>
      </c>
      <c r="B206" s="1">
        <v>45272</v>
      </c>
      <c r="C206" s="8" t="s">
        <v>38</v>
      </c>
      <c r="D206" s="8" t="s">
        <v>15</v>
      </c>
      <c r="E206" s="6">
        <v>2479.9499999999998</v>
      </c>
      <c r="F206" s="2">
        <v>8</v>
      </c>
      <c r="G206" s="8" t="s">
        <v>29</v>
      </c>
      <c r="H206" s="6">
        <v>467.11</v>
      </c>
      <c r="I206" s="6">
        <v>792.21</v>
      </c>
      <c r="J206" s="8" t="s">
        <v>30</v>
      </c>
      <c r="K206" s="12">
        <v>0.2</v>
      </c>
      <c r="L206" s="8" t="s">
        <v>31</v>
      </c>
      <c r="M206" s="8" t="s">
        <v>19</v>
      </c>
      <c r="N206" s="10" t="s">
        <v>40</v>
      </c>
      <c r="O206" s="17">
        <f xml:space="preserve"> (Tabla1[[#This Row],[Unit_Price]] - Tabla1[[#This Row],[Unit_Cost]] ) * Tabla1[[#This Row],[Quantity_Sold]]</f>
        <v>2600.8000000000002</v>
      </c>
      <c r="P206" s="12">
        <f>Tabla1[[#This Row],[Profit]] / Tabla1[[#This Row],[Sales_Calculated]]</f>
        <v>0.41037098749069062</v>
      </c>
      <c r="Q206" s="20">
        <f xml:space="preserve"> Tabla1[[#This Row],[Unit_Price]] * Tabla1[[#This Row],[Quantity_Sold]]</f>
        <v>6337.68</v>
      </c>
    </row>
    <row r="207" spans="1:17" x14ac:dyDescent="0.3">
      <c r="A207" s="2">
        <v>1044</v>
      </c>
      <c r="B207" s="1">
        <v>45228</v>
      </c>
      <c r="C207" s="8" t="s">
        <v>33</v>
      </c>
      <c r="D207" s="8" t="s">
        <v>15</v>
      </c>
      <c r="E207" s="6">
        <v>1996.77</v>
      </c>
      <c r="F207" s="2">
        <v>11</v>
      </c>
      <c r="G207" s="8" t="s">
        <v>29</v>
      </c>
      <c r="H207" s="6">
        <v>1812.66</v>
      </c>
      <c r="I207" s="6">
        <v>2196.3000000000002</v>
      </c>
      <c r="J207" s="8" t="s">
        <v>30</v>
      </c>
      <c r="K207" s="12">
        <v>0.08</v>
      </c>
      <c r="L207" s="8" t="s">
        <v>18</v>
      </c>
      <c r="M207" s="8" t="s">
        <v>19</v>
      </c>
      <c r="N207" s="10" t="s">
        <v>53</v>
      </c>
      <c r="O207" s="17">
        <f xml:space="preserve"> (Tabla1[[#This Row],[Unit_Price]] - Tabla1[[#This Row],[Unit_Cost]] ) * Tabla1[[#This Row],[Quantity_Sold]]</f>
        <v>4220.0400000000009</v>
      </c>
      <c r="P207" s="12">
        <f>Tabla1[[#This Row],[Profit]] / Tabla1[[#This Row],[Sales_Calculated]]</f>
        <v>0.17467559076628877</v>
      </c>
      <c r="Q207" s="20">
        <f xml:space="preserve"> Tabla1[[#This Row],[Unit_Price]] * Tabla1[[#This Row],[Quantity_Sold]]</f>
        <v>24159.300000000003</v>
      </c>
    </row>
    <row r="208" spans="1:17" x14ac:dyDescent="0.3">
      <c r="A208" s="2">
        <v>1024</v>
      </c>
      <c r="B208" s="1">
        <v>45289</v>
      </c>
      <c r="C208" s="8" t="s">
        <v>38</v>
      </c>
      <c r="D208" s="8" t="s">
        <v>15</v>
      </c>
      <c r="E208" s="6">
        <v>9190.57</v>
      </c>
      <c r="F208" s="2">
        <v>5</v>
      </c>
      <c r="G208" s="8" t="s">
        <v>16</v>
      </c>
      <c r="H208" s="6">
        <v>3417.9</v>
      </c>
      <c r="I208" s="6">
        <v>3714.52</v>
      </c>
      <c r="J208" s="8" t="s">
        <v>17</v>
      </c>
      <c r="K208" s="12">
        <v>0.27</v>
      </c>
      <c r="L208" s="8" t="s">
        <v>31</v>
      </c>
      <c r="M208" s="8" t="s">
        <v>22</v>
      </c>
      <c r="N208" s="10" t="s">
        <v>40</v>
      </c>
      <c r="O208" s="17">
        <f xml:space="preserve"> (Tabla1[[#This Row],[Unit_Price]] - Tabla1[[#This Row],[Unit_Cost]] ) * Tabla1[[#This Row],[Quantity_Sold]]</f>
        <v>1483.0999999999995</v>
      </c>
      <c r="P208" s="12">
        <f>Tabla1[[#This Row],[Profit]] / Tabla1[[#This Row],[Sales_Calculated]]</f>
        <v>7.985419381239027E-2</v>
      </c>
      <c r="Q208" s="20">
        <f xml:space="preserve"> Tabla1[[#This Row],[Unit_Price]] * Tabla1[[#This Row],[Quantity_Sold]]</f>
        <v>18572.599999999999</v>
      </c>
    </row>
    <row r="209" spans="1:17" x14ac:dyDescent="0.3">
      <c r="A209" s="2">
        <v>1079</v>
      </c>
      <c r="B209" s="1">
        <v>45144</v>
      </c>
      <c r="C209" s="8" t="s">
        <v>24</v>
      </c>
      <c r="D209" s="8" t="s">
        <v>15</v>
      </c>
      <c r="E209" s="6">
        <v>1107.8599999999999</v>
      </c>
      <c r="F209" s="2">
        <v>45</v>
      </c>
      <c r="G209" s="8" t="s">
        <v>29</v>
      </c>
      <c r="H209" s="6">
        <v>1406.9</v>
      </c>
      <c r="I209" s="6">
        <v>1547.35</v>
      </c>
      <c r="J209" s="8" t="s">
        <v>30</v>
      </c>
      <c r="K209" s="12">
        <v>0.17</v>
      </c>
      <c r="L209" s="8" t="s">
        <v>18</v>
      </c>
      <c r="M209" s="8" t="s">
        <v>22</v>
      </c>
      <c r="N209" s="10" t="s">
        <v>45</v>
      </c>
      <c r="O209" s="17">
        <f xml:space="preserve"> (Tabla1[[#This Row],[Unit_Price]] - Tabla1[[#This Row],[Unit_Cost]] ) * Tabla1[[#This Row],[Quantity_Sold]]</f>
        <v>6320.2499999999918</v>
      </c>
      <c r="P209" s="12">
        <f>Tabla1[[#This Row],[Profit]] / Tabla1[[#This Row],[Sales_Calculated]]</f>
        <v>9.0768087375189724E-2</v>
      </c>
      <c r="Q209" s="20">
        <f xml:space="preserve"> Tabla1[[#This Row],[Unit_Price]] * Tabla1[[#This Row],[Quantity_Sold]]</f>
        <v>69630.75</v>
      </c>
    </row>
    <row r="210" spans="1:17" x14ac:dyDescent="0.3">
      <c r="A210" s="2">
        <v>1059</v>
      </c>
      <c r="B210" s="1">
        <v>45067</v>
      </c>
      <c r="C210" s="8" t="s">
        <v>42</v>
      </c>
      <c r="D210" s="8" t="s">
        <v>15</v>
      </c>
      <c r="E210" s="6">
        <v>5108.9799999999996</v>
      </c>
      <c r="F210" s="2">
        <v>37</v>
      </c>
      <c r="G210" s="8" t="s">
        <v>35</v>
      </c>
      <c r="H210" s="6">
        <v>4146.99</v>
      </c>
      <c r="I210" s="6">
        <v>4172.3499999999904</v>
      </c>
      <c r="J210" s="8" t="s">
        <v>17</v>
      </c>
      <c r="K210" s="12">
        <v>0.06</v>
      </c>
      <c r="L210" s="8" t="s">
        <v>18</v>
      </c>
      <c r="M210" s="8" t="s">
        <v>22</v>
      </c>
      <c r="N210" s="10" t="s">
        <v>49</v>
      </c>
      <c r="O210" s="17">
        <f xml:space="preserve"> (Tabla1[[#This Row],[Unit_Price]] - Tabla1[[#This Row],[Unit_Cost]] ) * Tabla1[[#This Row],[Quantity_Sold]]</f>
        <v>938.31999999965137</v>
      </c>
      <c r="P210" s="12">
        <f>Tabla1[[#This Row],[Profit]] / Tabla1[[#This Row],[Sales_Calculated]]</f>
        <v>6.0781094586960915E-3</v>
      </c>
      <c r="Q210" s="20">
        <f xml:space="preserve"> Tabla1[[#This Row],[Unit_Price]] * Tabla1[[#This Row],[Quantity_Sold]]</f>
        <v>154376.94999999963</v>
      </c>
    </row>
    <row r="211" spans="1:17" x14ac:dyDescent="0.3">
      <c r="A211" s="2">
        <v>1032</v>
      </c>
      <c r="B211" s="1">
        <v>45030</v>
      </c>
      <c r="C211" s="8" t="s">
        <v>24</v>
      </c>
      <c r="D211" s="8" t="s">
        <v>15</v>
      </c>
      <c r="E211" s="6">
        <v>2286.44</v>
      </c>
      <c r="F211" s="2">
        <v>45</v>
      </c>
      <c r="G211" s="8" t="s">
        <v>29</v>
      </c>
      <c r="H211" s="6">
        <v>3712.35</v>
      </c>
      <c r="I211" s="6">
        <v>3780.88</v>
      </c>
      <c r="J211" s="8" t="s">
        <v>30</v>
      </c>
      <c r="K211" s="12">
        <v>7.0000000000000007E-2</v>
      </c>
      <c r="L211" s="8" t="s">
        <v>18</v>
      </c>
      <c r="M211" s="8" t="s">
        <v>22</v>
      </c>
      <c r="N211" s="10" t="s">
        <v>45</v>
      </c>
      <c r="O211" s="17">
        <f xml:space="preserve"> (Tabla1[[#This Row],[Unit_Price]] - Tabla1[[#This Row],[Unit_Cost]] ) * Tabla1[[#This Row],[Quantity_Sold]]</f>
        <v>3083.850000000009</v>
      </c>
      <c r="P211" s="12">
        <f>Tabla1[[#This Row],[Profit]] / Tabla1[[#This Row],[Sales_Calculated]]</f>
        <v>1.8125409957470272E-2</v>
      </c>
      <c r="Q211" s="20">
        <f xml:space="preserve"> Tabla1[[#This Row],[Unit_Price]] * Tabla1[[#This Row],[Quantity_Sold]]</f>
        <v>170139.6</v>
      </c>
    </row>
    <row r="212" spans="1:17" x14ac:dyDescent="0.3">
      <c r="A212" s="2">
        <v>1096</v>
      </c>
      <c r="B212" s="1">
        <v>45136</v>
      </c>
      <c r="C212" s="8" t="s">
        <v>33</v>
      </c>
      <c r="D212" s="8" t="s">
        <v>21</v>
      </c>
      <c r="E212" s="6">
        <v>485.41</v>
      </c>
      <c r="F212" s="2">
        <v>38</v>
      </c>
      <c r="G212" s="8" t="s">
        <v>35</v>
      </c>
      <c r="H212" s="6">
        <v>3955.66</v>
      </c>
      <c r="I212" s="6">
        <v>4270.59</v>
      </c>
      <c r="J212" s="8" t="s">
        <v>17</v>
      </c>
      <c r="K212" s="12">
        <v>0.15</v>
      </c>
      <c r="L212" s="8" t="s">
        <v>31</v>
      </c>
      <c r="M212" s="8" t="s">
        <v>19</v>
      </c>
      <c r="N212" s="10" t="s">
        <v>37</v>
      </c>
      <c r="O212" s="17">
        <f xml:space="preserve"> (Tabla1[[#This Row],[Unit_Price]] - Tabla1[[#This Row],[Unit_Cost]] ) * Tabla1[[#This Row],[Quantity_Sold]]</f>
        <v>11967.340000000011</v>
      </c>
      <c r="P212" s="12">
        <f>Tabla1[[#This Row],[Profit]] / Tabla1[[#This Row],[Sales_Calculated]]</f>
        <v>7.3743908921249823E-2</v>
      </c>
      <c r="Q212" s="20">
        <f xml:space="preserve"> Tabla1[[#This Row],[Unit_Price]] * Tabla1[[#This Row],[Quantity_Sold]]</f>
        <v>162282.42000000001</v>
      </c>
    </row>
    <row r="213" spans="1:17" x14ac:dyDescent="0.3">
      <c r="A213" s="2">
        <v>1088</v>
      </c>
      <c r="B213" s="1">
        <v>45037</v>
      </c>
      <c r="C213" s="8" t="s">
        <v>33</v>
      </c>
      <c r="D213" s="8" t="s">
        <v>34</v>
      </c>
      <c r="E213" s="6">
        <v>456.59</v>
      </c>
      <c r="F213" s="2">
        <v>29</v>
      </c>
      <c r="G213" s="8" t="s">
        <v>16</v>
      </c>
      <c r="H213" s="6">
        <v>639.58000000000004</v>
      </c>
      <c r="I213" s="6">
        <v>1107.45</v>
      </c>
      <c r="J213" s="8" t="s">
        <v>30</v>
      </c>
      <c r="K213" s="12">
        <v>0.28999999999999998</v>
      </c>
      <c r="L213" s="8" t="s">
        <v>18</v>
      </c>
      <c r="M213" s="8" t="s">
        <v>22</v>
      </c>
      <c r="N213" s="10" t="s">
        <v>36</v>
      </c>
      <c r="O213" s="17">
        <f xml:space="preserve"> (Tabla1[[#This Row],[Unit_Price]] - Tabla1[[#This Row],[Unit_Cost]] ) * Tabla1[[#This Row],[Quantity_Sold]]</f>
        <v>13568.23</v>
      </c>
      <c r="P213" s="12">
        <f>Tabla1[[#This Row],[Profit]] / Tabla1[[#This Row],[Sales_Calculated]]</f>
        <v>0.42247505530723728</v>
      </c>
      <c r="Q213" s="20">
        <f xml:space="preserve"> Tabla1[[#This Row],[Unit_Price]] * Tabla1[[#This Row],[Quantity_Sold]]</f>
        <v>32116.050000000003</v>
      </c>
    </row>
    <row r="214" spans="1:17" x14ac:dyDescent="0.3">
      <c r="A214" s="2">
        <v>1052</v>
      </c>
      <c r="B214" s="1">
        <v>45030</v>
      </c>
      <c r="C214" s="8" t="s">
        <v>24</v>
      </c>
      <c r="D214" s="8" t="s">
        <v>15</v>
      </c>
      <c r="E214" s="6">
        <v>1834.7</v>
      </c>
      <c r="F214" s="2">
        <v>5</v>
      </c>
      <c r="G214" s="8" t="s">
        <v>16</v>
      </c>
      <c r="H214" s="6">
        <v>745.71</v>
      </c>
      <c r="I214" s="6">
        <v>856.91</v>
      </c>
      <c r="J214" s="8" t="s">
        <v>17</v>
      </c>
      <c r="K214" s="12">
        <v>0.23</v>
      </c>
      <c r="L214" s="8" t="s">
        <v>27</v>
      </c>
      <c r="M214" s="8" t="s">
        <v>22</v>
      </c>
      <c r="N214" s="10" t="s">
        <v>45</v>
      </c>
      <c r="O214" s="17">
        <f xml:space="preserve"> (Tabla1[[#This Row],[Unit_Price]] - Tabla1[[#This Row],[Unit_Cost]] ) * Tabla1[[#This Row],[Quantity_Sold]]</f>
        <v>555.99999999999966</v>
      </c>
      <c r="P214" s="12">
        <f>Tabla1[[#This Row],[Profit]] / Tabla1[[#This Row],[Sales_Calculated]]</f>
        <v>0.12976858713283768</v>
      </c>
      <c r="Q214" s="20">
        <f xml:space="preserve"> Tabla1[[#This Row],[Unit_Price]] * Tabla1[[#This Row],[Quantity_Sold]]</f>
        <v>4284.55</v>
      </c>
    </row>
    <row r="215" spans="1:17" x14ac:dyDescent="0.3">
      <c r="A215" s="2">
        <v>1062</v>
      </c>
      <c r="B215" s="1">
        <v>45242</v>
      </c>
      <c r="C215" s="8" t="s">
        <v>38</v>
      </c>
      <c r="D215" s="8" t="s">
        <v>25</v>
      </c>
      <c r="E215" s="6">
        <v>8681.0300000000007</v>
      </c>
      <c r="F215" s="2">
        <v>9</v>
      </c>
      <c r="G215" s="8" t="s">
        <v>35</v>
      </c>
      <c r="H215" s="6">
        <v>1468.05</v>
      </c>
      <c r="I215" s="6">
        <v>1838.21</v>
      </c>
      <c r="J215" s="8" t="s">
        <v>30</v>
      </c>
      <c r="K215" s="12">
        <v>0.15</v>
      </c>
      <c r="L215" s="8" t="s">
        <v>27</v>
      </c>
      <c r="M215" s="8" t="s">
        <v>22</v>
      </c>
      <c r="N215" s="10" t="s">
        <v>39</v>
      </c>
      <c r="O215" s="17">
        <f xml:space="preserve"> (Tabla1[[#This Row],[Unit_Price]] - Tabla1[[#This Row],[Unit_Cost]] ) * Tabla1[[#This Row],[Quantity_Sold]]</f>
        <v>3331.4400000000005</v>
      </c>
      <c r="P215" s="12">
        <f>Tabla1[[#This Row],[Profit]] / Tabla1[[#This Row],[Sales_Calculated]]</f>
        <v>0.20136981084859731</v>
      </c>
      <c r="Q215" s="20">
        <f xml:space="preserve"> Tabla1[[#This Row],[Unit_Price]] * Tabla1[[#This Row],[Quantity_Sold]]</f>
        <v>16543.89</v>
      </c>
    </row>
    <row r="216" spans="1:17" x14ac:dyDescent="0.3">
      <c r="A216" s="2">
        <v>1058</v>
      </c>
      <c r="B216" s="1">
        <v>45097</v>
      </c>
      <c r="C216" s="8" t="s">
        <v>38</v>
      </c>
      <c r="D216" s="8" t="s">
        <v>21</v>
      </c>
      <c r="E216" s="6">
        <v>2896.54</v>
      </c>
      <c r="F216" s="2">
        <v>48</v>
      </c>
      <c r="G216" s="8" t="s">
        <v>29</v>
      </c>
      <c r="H216" s="6">
        <v>2614.48</v>
      </c>
      <c r="I216" s="6">
        <v>3049.04</v>
      </c>
      <c r="J216" s="8" t="s">
        <v>30</v>
      </c>
      <c r="K216" s="12">
        <v>0.1</v>
      </c>
      <c r="L216" s="8" t="s">
        <v>31</v>
      </c>
      <c r="M216" s="8" t="s">
        <v>22</v>
      </c>
      <c r="N216" s="10" t="s">
        <v>41</v>
      </c>
      <c r="O216" s="17">
        <f xml:space="preserve"> (Tabla1[[#This Row],[Unit_Price]] - Tabla1[[#This Row],[Unit_Cost]] ) * Tabla1[[#This Row],[Quantity_Sold]]</f>
        <v>20858.879999999997</v>
      </c>
      <c r="P216" s="12">
        <f>Tabla1[[#This Row],[Profit]] / Tabla1[[#This Row],[Sales_Calculated]]</f>
        <v>0.14252354839556056</v>
      </c>
      <c r="Q216" s="20">
        <f xml:space="preserve"> Tabla1[[#This Row],[Unit_Price]] * Tabla1[[#This Row],[Quantity_Sold]]</f>
        <v>146353.91999999998</v>
      </c>
    </row>
    <row r="217" spans="1:17" x14ac:dyDescent="0.3">
      <c r="A217" s="2">
        <v>1052</v>
      </c>
      <c r="B217" s="1">
        <v>45282</v>
      </c>
      <c r="C217" s="8" t="s">
        <v>33</v>
      </c>
      <c r="D217" s="8" t="s">
        <v>21</v>
      </c>
      <c r="E217" s="6">
        <v>9509.5499999999993</v>
      </c>
      <c r="F217" s="2">
        <v>2</v>
      </c>
      <c r="G217" s="8" t="s">
        <v>16</v>
      </c>
      <c r="H217" s="6">
        <v>3752.68</v>
      </c>
      <c r="I217" s="6">
        <v>4017.91</v>
      </c>
      <c r="J217" s="8" t="s">
        <v>17</v>
      </c>
      <c r="K217" s="12">
        <v>0.16</v>
      </c>
      <c r="L217" s="8" t="s">
        <v>27</v>
      </c>
      <c r="M217" s="8" t="s">
        <v>19</v>
      </c>
      <c r="N217" s="10" t="s">
        <v>37</v>
      </c>
      <c r="O217" s="17">
        <f xml:space="preserve"> (Tabla1[[#This Row],[Unit_Price]] - Tabla1[[#This Row],[Unit_Cost]] ) * Tabla1[[#This Row],[Quantity_Sold]]</f>
        <v>530.46</v>
      </c>
      <c r="P217" s="12">
        <f>Tabla1[[#This Row],[Profit]] / Tabla1[[#This Row],[Sales_Calculated]]</f>
        <v>6.6011931576366825E-2</v>
      </c>
      <c r="Q217" s="20">
        <f xml:space="preserve"> Tabla1[[#This Row],[Unit_Price]] * Tabla1[[#This Row],[Quantity_Sold]]</f>
        <v>8035.82</v>
      </c>
    </row>
    <row r="218" spans="1:17" x14ac:dyDescent="0.3">
      <c r="A218" s="2">
        <v>1012</v>
      </c>
      <c r="B218" s="1">
        <v>45250</v>
      </c>
      <c r="C218" s="8" t="s">
        <v>14</v>
      </c>
      <c r="D218" s="8" t="s">
        <v>15</v>
      </c>
      <c r="E218" s="6">
        <v>5858.06</v>
      </c>
      <c r="F218" s="2">
        <v>1</v>
      </c>
      <c r="G218" s="8" t="s">
        <v>26</v>
      </c>
      <c r="H218" s="6">
        <v>4190.83</v>
      </c>
      <c r="I218" s="6">
        <v>4528.7699999999904</v>
      </c>
      <c r="J218" s="8" t="s">
        <v>17</v>
      </c>
      <c r="K218" s="12">
        <v>0.22</v>
      </c>
      <c r="L218" s="8" t="s">
        <v>27</v>
      </c>
      <c r="M218" s="8" t="s">
        <v>19</v>
      </c>
      <c r="N218" s="10" t="s">
        <v>20</v>
      </c>
      <c r="O218" s="17">
        <f xml:space="preserve"> (Tabla1[[#This Row],[Unit_Price]] - Tabla1[[#This Row],[Unit_Cost]] ) * Tabla1[[#This Row],[Quantity_Sold]]</f>
        <v>337.9399999999905</v>
      </c>
      <c r="P218" s="12">
        <f>Tabla1[[#This Row],[Profit]] / Tabla1[[#This Row],[Sales_Calculated]]</f>
        <v>7.462070275151779E-2</v>
      </c>
      <c r="Q218" s="20">
        <f xml:space="preserve"> Tabla1[[#This Row],[Unit_Price]] * Tabla1[[#This Row],[Quantity_Sold]]</f>
        <v>4528.7699999999904</v>
      </c>
    </row>
    <row r="219" spans="1:17" x14ac:dyDescent="0.3">
      <c r="A219" s="2">
        <v>1039</v>
      </c>
      <c r="B219" s="1">
        <v>45059</v>
      </c>
      <c r="C219" s="8" t="s">
        <v>38</v>
      </c>
      <c r="D219" s="8" t="s">
        <v>21</v>
      </c>
      <c r="E219" s="6">
        <v>4422.4799999999996</v>
      </c>
      <c r="F219" s="2">
        <v>40</v>
      </c>
      <c r="G219" s="8" t="s">
        <v>16</v>
      </c>
      <c r="H219" s="6">
        <v>3536.46</v>
      </c>
      <c r="I219" s="6">
        <v>3945.82</v>
      </c>
      <c r="J219" s="8" t="s">
        <v>30</v>
      </c>
      <c r="K219" s="12">
        <v>0.24</v>
      </c>
      <c r="L219" s="8" t="s">
        <v>27</v>
      </c>
      <c r="M219" s="8" t="s">
        <v>19</v>
      </c>
      <c r="N219" s="10" t="s">
        <v>41</v>
      </c>
      <c r="O219" s="17">
        <f xml:space="preserve"> (Tabla1[[#This Row],[Unit_Price]] - Tabla1[[#This Row],[Unit_Cost]] ) * Tabla1[[#This Row],[Quantity_Sold]]</f>
        <v>16374.400000000005</v>
      </c>
      <c r="P219" s="12">
        <f>Tabla1[[#This Row],[Profit]] / Tabla1[[#This Row],[Sales_Calculated]]</f>
        <v>0.10374522912854618</v>
      </c>
      <c r="Q219" s="20">
        <f xml:space="preserve"> Tabla1[[#This Row],[Unit_Price]] * Tabla1[[#This Row],[Quantity_Sold]]</f>
        <v>157832.80000000002</v>
      </c>
    </row>
    <row r="220" spans="1:17" x14ac:dyDescent="0.3">
      <c r="A220" s="2">
        <v>1002</v>
      </c>
      <c r="B220" s="1">
        <v>45219</v>
      </c>
      <c r="C220" s="8" t="s">
        <v>24</v>
      </c>
      <c r="D220" s="8" t="s">
        <v>15</v>
      </c>
      <c r="E220" s="6">
        <v>5842.88</v>
      </c>
      <c r="F220" s="2">
        <v>30</v>
      </c>
      <c r="G220" s="8" t="s">
        <v>29</v>
      </c>
      <c r="H220" s="6">
        <v>4646.55</v>
      </c>
      <c r="I220" s="6">
        <v>4784.28</v>
      </c>
      <c r="J220" s="8" t="s">
        <v>17</v>
      </c>
      <c r="K220" s="12">
        <v>0.1</v>
      </c>
      <c r="L220" s="8" t="s">
        <v>31</v>
      </c>
      <c r="M220" s="8" t="s">
        <v>22</v>
      </c>
      <c r="N220" s="10" t="s">
        <v>45</v>
      </c>
      <c r="O220" s="17">
        <f xml:space="preserve"> (Tabla1[[#This Row],[Unit_Price]] - Tabla1[[#This Row],[Unit_Cost]] ) * Tabla1[[#This Row],[Quantity_Sold]]</f>
        <v>4131.8999999999869</v>
      </c>
      <c r="P220" s="12">
        <f>Tabla1[[#This Row],[Profit]] / Tabla1[[#This Row],[Sales_Calculated]]</f>
        <v>2.878803080087277E-2</v>
      </c>
      <c r="Q220" s="20">
        <f xml:space="preserve"> Tabla1[[#This Row],[Unit_Price]] * Tabla1[[#This Row],[Quantity_Sold]]</f>
        <v>143528.4</v>
      </c>
    </row>
    <row r="221" spans="1:17" x14ac:dyDescent="0.3">
      <c r="A221" s="2">
        <v>1003</v>
      </c>
      <c r="B221" s="1">
        <v>45254</v>
      </c>
      <c r="C221" s="8" t="s">
        <v>38</v>
      </c>
      <c r="D221" s="8" t="s">
        <v>34</v>
      </c>
      <c r="E221" s="6">
        <v>5215.3100000000004</v>
      </c>
      <c r="F221" s="2">
        <v>11</v>
      </c>
      <c r="G221" s="8" t="s">
        <v>26</v>
      </c>
      <c r="H221" s="6">
        <v>3706.78</v>
      </c>
      <c r="I221" s="6">
        <v>3862.26</v>
      </c>
      <c r="J221" s="8" t="s">
        <v>30</v>
      </c>
      <c r="K221" s="12">
        <v>0.22</v>
      </c>
      <c r="L221" s="8" t="s">
        <v>31</v>
      </c>
      <c r="M221" s="8" t="s">
        <v>22</v>
      </c>
      <c r="N221" s="10" t="s">
        <v>48</v>
      </c>
      <c r="O221" s="17">
        <f xml:space="preserve"> (Tabla1[[#This Row],[Unit_Price]] - Tabla1[[#This Row],[Unit_Cost]] ) * Tabla1[[#This Row],[Quantity_Sold]]</f>
        <v>1710.2800000000002</v>
      </c>
      <c r="P221" s="12">
        <f>Tabla1[[#This Row],[Profit]] / Tabla1[[#This Row],[Sales_Calculated]]</f>
        <v>4.0256223040396041E-2</v>
      </c>
      <c r="Q221" s="20">
        <f xml:space="preserve"> Tabla1[[#This Row],[Unit_Price]] * Tabla1[[#This Row],[Quantity_Sold]]</f>
        <v>42484.86</v>
      </c>
    </row>
    <row r="222" spans="1:17" x14ac:dyDescent="0.3">
      <c r="A222" s="2">
        <v>1056</v>
      </c>
      <c r="B222" s="1">
        <v>45053</v>
      </c>
      <c r="C222" s="8" t="s">
        <v>24</v>
      </c>
      <c r="D222" s="8" t="s">
        <v>34</v>
      </c>
      <c r="E222" s="6">
        <v>7611.88</v>
      </c>
      <c r="F222" s="2">
        <v>28</v>
      </c>
      <c r="G222" s="8" t="s">
        <v>29</v>
      </c>
      <c r="H222" s="6">
        <v>1566.03</v>
      </c>
      <c r="I222" s="6">
        <v>1576.34</v>
      </c>
      <c r="J222" s="8" t="s">
        <v>17</v>
      </c>
      <c r="K222" s="12">
        <v>0.2</v>
      </c>
      <c r="L222" s="8" t="s">
        <v>27</v>
      </c>
      <c r="M222" s="8" t="s">
        <v>19</v>
      </c>
      <c r="N222" s="10" t="s">
        <v>50</v>
      </c>
      <c r="O222" s="17">
        <f xml:space="preserve"> (Tabla1[[#This Row],[Unit_Price]] - Tabla1[[#This Row],[Unit_Cost]] ) * Tabla1[[#This Row],[Quantity_Sold]]</f>
        <v>288.67999999999847</v>
      </c>
      <c r="P222" s="12">
        <f>Tabla1[[#This Row],[Profit]] / Tabla1[[#This Row],[Sales_Calculated]]</f>
        <v>6.540467158100376E-3</v>
      </c>
      <c r="Q222" s="20">
        <f xml:space="preserve"> Tabla1[[#This Row],[Unit_Price]] * Tabla1[[#This Row],[Quantity_Sold]]</f>
        <v>44137.52</v>
      </c>
    </row>
    <row r="223" spans="1:17" x14ac:dyDescent="0.3">
      <c r="A223" s="2">
        <v>1081</v>
      </c>
      <c r="B223" s="1">
        <v>45032</v>
      </c>
      <c r="C223" s="8" t="s">
        <v>33</v>
      </c>
      <c r="D223" s="8" t="s">
        <v>21</v>
      </c>
      <c r="E223" s="6">
        <v>2896.71</v>
      </c>
      <c r="F223" s="2">
        <v>44</v>
      </c>
      <c r="G223" s="8" t="s">
        <v>35</v>
      </c>
      <c r="H223" s="6">
        <v>1362.15</v>
      </c>
      <c r="I223" s="6">
        <v>1844.07</v>
      </c>
      <c r="J223" s="8" t="s">
        <v>30</v>
      </c>
      <c r="K223" s="12">
        <v>0.28999999999999998</v>
      </c>
      <c r="L223" s="8" t="s">
        <v>31</v>
      </c>
      <c r="M223" s="8" t="s">
        <v>19</v>
      </c>
      <c r="N223" s="10" t="s">
        <v>37</v>
      </c>
      <c r="O223" s="17">
        <f xml:space="preserve"> (Tabla1[[#This Row],[Unit_Price]] - Tabla1[[#This Row],[Unit_Cost]] ) * Tabla1[[#This Row],[Quantity_Sold]]</f>
        <v>21204.479999999992</v>
      </c>
      <c r="P223" s="12">
        <f>Tabla1[[#This Row],[Profit]] / Tabla1[[#This Row],[Sales_Calculated]]</f>
        <v>0.26133498186077525</v>
      </c>
      <c r="Q223" s="20">
        <f xml:space="preserve"> Tabla1[[#This Row],[Unit_Price]] * Tabla1[[#This Row],[Quantity_Sold]]</f>
        <v>81139.08</v>
      </c>
    </row>
    <row r="224" spans="1:17" x14ac:dyDescent="0.3">
      <c r="A224" s="2">
        <v>1059</v>
      </c>
      <c r="B224" s="1">
        <v>45018</v>
      </c>
      <c r="C224" s="8" t="s">
        <v>38</v>
      </c>
      <c r="D224" s="8" t="s">
        <v>21</v>
      </c>
      <c r="E224" s="6">
        <v>3595.2</v>
      </c>
      <c r="F224" s="2">
        <v>12</v>
      </c>
      <c r="G224" s="8" t="s">
        <v>26</v>
      </c>
      <c r="H224" s="6">
        <v>3496.15</v>
      </c>
      <c r="I224" s="6">
        <v>3955.75</v>
      </c>
      <c r="J224" s="8" t="s">
        <v>17</v>
      </c>
      <c r="K224" s="12">
        <v>0.28000000000000003</v>
      </c>
      <c r="L224" s="8" t="s">
        <v>18</v>
      </c>
      <c r="M224" s="8" t="s">
        <v>22</v>
      </c>
      <c r="N224" s="10" t="s">
        <v>41</v>
      </c>
      <c r="O224" s="17">
        <f xml:space="preserve"> (Tabla1[[#This Row],[Unit_Price]] - Tabla1[[#This Row],[Unit_Cost]] ) * Tabla1[[#This Row],[Quantity_Sold]]</f>
        <v>5515.1999999999989</v>
      </c>
      <c r="P224" s="12">
        <f>Tabla1[[#This Row],[Profit]] / Tabla1[[#This Row],[Sales_Calculated]]</f>
        <v>0.11618529987992161</v>
      </c>
      <c r="Q224" s="20">
        <f xml:space="preserve"> Tabla1[[#This Row],[Unit_Price]] * Tabla1[[#This Row],[Quantity_Sold]]</f>
        <v>47469</v>
      </c>
    </row>
    <row r="225" spans="1:17" x14ac:dyDescent="0.3">
      <c r="A225" s="2">
        <v>1002</v>
      </c>
      <c r="B225" s="1">
        <v>45213</v>
      </c>
      <c r="C225" s="8" t="s">
        <v>24</v>
      </c>
      <c r="D225" s="8" t="s">
        <v>25</v>
      </c>
      <c r="E225" s="6">
        <v>8951.5300000000007</v>
      </c>
      <c r="F225" s="2">
        <v>39</v>
      </c>
      <c r="G225" s="8" t="s">
        <v>29</v>
      </c>
      <c r="H225" s="6">
        <v>1004.71</v>
      </c>
      <c r="I225" s="6">
        <v>1389.35</v>
      </c>
      <c r="J225" s="8" t="s">
        <v>30</v>
      </c>
      <c r="K225" s="12">
        <v>0.24</v>
      </c>
      <c r="L225" s="8" t="s">
        <v>27</v>
      </c>
      <c r="M225" s="8" t="s">
        <v>19</v>
      </c>
      <c r="N225" s="10" t="s">
        <v>28</v>
      </c>
      <c r="O225" s="17">
        <f xml:space="preserve"> (Tabla1[[#This Row],[Unit_Price]] - Tabla1[[#This Row],[Unit_Cost]] ) * Tabla1[[#This Row],[Quantity_Sold]]</f>
        <v>15000.959999999995</v>
      </c>
      <c r="P225" s="12">
        <f>Tabla1[[#This Row],[Profit]] / Tabla1[[#This Row],[Sales_Calculated]]</f>
        <v>0.27684888616979159</v>
      </c>
      <c r="Q225" s="20">
        <f xml:space="preserve"> Tabla1[[#This Row],[Unit_Price]] * Tabla1[[#This Row],[Quantity_Sold]]</f>
        <v>54184.649999999994</v>
      </c>
    </row>
    <row r="226" spans="1:17" x14ac:dyDescent="0.3">
      <c r="A226" s="2">
        <v>1002</v>
      </c>
      <c r="B226" s="1">
        <v>44977</v>
      </c>
      <c r="C226" s="8" t="s">
        <v>33</v>
      </c>
      <c r="D226" s="8" t="s">
        <v>21</v>
      </c>
      <c r="E226" s="6">
        <v>9469.92</v>
      </c>
      <c r="F226" s="2">
        <v>26</v>
      </c>
      <c r="G226" s="8" t="s">
        <v>26</v>
      </c>
      <c r="H226" s="6">
        <v>508.94</v>
      </c>
      <c r="I226" s="6">
        <v>557.69000000000005</v>
      </c>
      <c r="J226" s="8" t="s">
        <v>30</v>
      </c>
      <c r="K226" s="12">
        <v>0.22</v>
      </c>
      <c r="L226" s="8" t="s">
        <v>31</v>
      </c>
      <c r="M226" s="8" t="s">
        <v>22</v>
      </c>
      <c r="N226" s="10" t="s">
        <v>37</v>
      </c>
      <c r="O226" s="17">
        <f xml:space="preserve"> (Tabla1[[#This Row],[Unit_Price]] - Tabla1[[#This Row],[Unit_Cost]] ) * Tabla1[[#This Row],[Quantity_Sold]]</f>
        <v>1267.5000000000014</v>
      </c>
      <c r="P226" s="12">
        <f>Tabla1[[#This Row],[Profit]] / Tabla1[[#This Row],[Sales_Calculated]]</f>
        <v>8.7414154817192433E-2</v>
      </c>
      <c r="Q226" s="20">
        <f xml:space="preserve"> Tabla1[[#This Row],[Unit_Price]] * Tabla1[[#This Row],[Quantity_Sold]]</f>
        <v>14499.940000000002</v>
      </c>
    </row>
    <row r="227" spans="1:17" x14ac:dyDescent="0.3">
      <c r="A227" s="2">
        <v>1092</v>
      </c>
      <c r="B227" s="1">
        <v>44955</v>
      </c>
      <c r="C227" s="8" t="s">
        <v>14</v>
      </c>
      <c r="D227" s="8" t="s">
        <v>25</v>
      </c>
      <c r="E227" s="6">
        <v>8936.33</v>
      </c>
      <c r="F227" s="2">
        <v>13</v>
      </c>
      <c r="G227" s="8" t="s">
        <v>29</v>
      </c>
      <c r="H227" s="6">
        <v>2684.5</v>
      </c>
      <c r="I227" s="6">
        <v>2913.78</v>
      </c>
      <c r="J227" s="8" t="s">
        <v>30</v>
      </c>
      <c r="K227" s="12">
        <v>0.08</v>
      </c>
      <c r="L227" s="8" t="s">
        <v>31</v>
      </c>
      <c r="M227" s="8" t="s">
        <v>22</v>
      </c>
      <c r="N227" s="10" t="s">
        <v>32</v>
      </c>
      <c r="O227" s="17">
        <f xml:space="preserve"> (Tabla1[[#This Row],[Unit_Price]] - Tabla1[[#This Row],[Unit_Cost]] ) * Tabla1[[#This Row],[Quantity_Sold]]</f>
        <v>2980.6400000000026</v>
      </c>
      <c r="P227" s="12">
        <f>Tabla1[[#This Row],[Profit]] / Tabla1[[#This Row],[Sales_Calculated]]</f>
        <v>7.8688164514822745E-2</v>
      </c>
      <c r="Q227" s="20">
        <f xml:space="preserve"> Tabla1[[#This Row],[Unit_Price]] * Tabla1[[#This Row],[Quantity_Sold]]</f>
        <v>37879.14</v>
      </c>
    </row>
    <row r="228" spans="1:17" x14ac:dyDescent="0.3">
      <c r="A228" s="2">
        <v>1054</v>
      </c>
      <c r="B228" s="1">
        <v>45222</v>
      </c>
      <c r="C228" s="8" t="s">
        <v>24</v>
      </c>
      <c r="D228" s="8" t="s">
        <v>34</v>
      </c>
      <c r="E228" s="6">
        <v>4252.54</v>
      </c>
      <c r="F228" s="2">
        <v>8</v>
      </c>
      <c r="G228" s="8" t="s">
        <v>26</v>
      </c>
      <c r="H228" s="6">
        <v>4117.13</v>
      </c>
      <c r="I228" s="6">
        <v>4177.0600000000004</v>
      </c>
      <c r="J228" s="8" t="s">
        <v>17</v>
      </c>
      <c r="K228" s="12">
        <v>0.25</v>
      </c>
      <c r="L228" s="8" t="s">
        <v>27</v>
      </c>
      <c r="M228" s="8" t="s">
        <v>22</v>
      </c>
      <c r="N228" s="10" t="s">
        <v>50</v>
      </c>
      <c r="O228" s="17">
        <f xml:space="preserve"> (Tabla1[[#This Row],[Unit_Price]] - Tabla1[[#This Row],[Unit_Cost]] ) * Tabla1[[#This Row],[Quantity_Sold]]</f>
        <v>479.44000000000233</v>
      </c>
      <c r="P228" s="12">
        <f>Tabla1[[#This Row],[Profit]] / Tabla1[[#This Row],[Sales_Calculated]]</f>
        <v>1.4347411815966321E-2</v>
      </c>
      <c r="Q228" s="20">
        <f xml:space="preserve"> Tabla1[[#This Row],[Unit_Price]] * Tabla1[[#This Row],[Quantity_Sold]]</f>
        <v>33416.480000000003</v>
      </c>
    </row>
    <row r="229" spans="1:17" x14ac:dyDescent="0.3">
      <c r="A229" s="2">
        <v>1087</v>
      </c>
      <c r="B229" s="1">
        <v>45223</v>
      </c>
      <c r="C229" s="8" t="s">
        <v>14</v>
      </c>
      <c r="D229" s="8" t="s">
        <v>34</v>
      </c>
      <c r="E229" s="6">
        <v>7825.62</v>
      </c>
      <c r="F229" s="2">
        <v>28</v>
      </c>
      <c r="G229" s="8" t="s">
        <v>29</v>
      </c>
      <c r="H229" s="6">
        <v>551.83000000000004</v>
      </c>
      <c r="I229" s="6">
        <v>569.63</v>
      </c>
      <c r="J229" s="8" t="s">
        <v>30</v>
      </c>
      <c r="K229" s="12">
        <v>0.13</v>
      </c>
      <c r="L229" s="8" t="s">
        <v>31</v>
      </c>
      <c r="M229" s="8" t="s">
        <v>22</v>
      </c>
      <c r="N229" s="10" t="s">
        <v>46</v>
      </c>
      <c r="O229" s="17">
        <f xml:space="preserve"> (Tabla1[[#This Row],[Unit_Price]] - Tabla1[[#This Row],[Unit_Cost]] ) * Tabla1[[#This Row],[Quantity_Sold]]</f>
        <v>498.39999999999873</v>
      </c>
      <c r="P229" s="12">
        <f>Tabla1[[#This Row],[Profit]] / Tabla1[[#This Row],[Sales_Calculated]]</f>
        <v>3.1248354194828142E-2</v>
      </c>
      <c r="Q229" s="20">
        <f xml:space="preserve"> Tabla1[[#This Row],[Unit_Price]] * Tabla1[[#This Row],[Quantity_Sold]]</f>
        <v>15949.64</v>
      </c>
    </row>
    <row r="230" spans="1:17" x14ac:dyDescent="0.3">
      <c r="A230" s="2">
        <v>1096</v>
      </c>
      <c r="B230" s="1">
        <v>45140</v>
      </c>
      <c r="C230" s="8" t="s">
        <v>14</v>
      </c>
      <c r="D230" s="8" t="s">
        <v>15</v>
      </c>
      <c r="E230" s="6">
        <v>4815.72</v>
      </c>
      <c r="F230" s="2">
        <v>30</v>
      </c>
      <c r="G230" s="8" t="s">
        <v>35</v>
      </c>
      <c r="H230" s="6">
        <v>3969.86</v>
      </c>
      <c r="I230" s="6">
        <v>4281.79</v>
      </c>
      <c r="J230" s="8" t="s">
        <v>17</v>
      </c>
      <c r="K230" s="12">
        <v>0.08</v>
      </c>
      <c r="L230" s="8" t="s">
        <v>27</v>
      </c>
      <c r="M230" s="8" t="s">
        <v>22</v>
      </c>
      <c r="N230" s="10" t="s">
        <v>20</v>
      </c>
      <c r="O230" s="17">
        <f xml:space="preserve"> (Tabla1[[#This Row],[Unit_Price]] - Tabla1[[#This Row],[Unit_Cost]] ) * Tabla1[[#This Row],[Quantity_Sold]]</f>
        <v>9357.8999999999942</v>
      </c>
      <c r="P230" s="12">
        <f>Tabla1[[#This Row],[Profit]] / Tabla1[[#This Row],[Sales_Calculated]]</f>
        <v>7.2850373325174703E-2</v>
      </c>
      <c r="Q230" s="20">
        <f xml:space="preserve"> Tabla1[[#This Row],[Unit_Price]] * Tabla1[[#This Row],[Quantity_Sold]]</f>
        <v>128453.7</v>
      </c>
    </row>
    <row r="231" spans="1:17" x14ac:dyDescent="0.3">
      <c r="A231" s="2">
        <v>1097</v>
      </c>
      <c r="B231" s="1">
        <v>45193</v>
      </c>
      <c r="C231" s="8" t="s">
        <v>42</v>
      </c>
      <c r="D231" s="8" t="s">
        <v>34</v>
      </c>
      <c r="E231" s="6">
        <v>5025.6400000000003</v>
      </c>
      <c r="F231" s="2">
        <v>9</v>
      </c>
      <c r="G231" s="8" t="s">
        <v>26</v>
      </c>
      <c r="H231" s="6">
        <v>4067.28</v>
      </c>
      <c r="I231" s="6">
        <v>4548.09</v>
      </c>
      <c r="J231" s="8" t="s">
        <v>17</v>
      </c>
      <c r="K231" s="12">
        <v>0.12</v>
      </c>
      <c r="L231" s="8" t="s">
        <v>31</v>
      </c>
      <c r="M231" s="8" t="s">
        <v>22</v>
      </c>
      <c r="N231" s="10" t="s">
        <v>52</v>
      </c>
      <c r="O231" s="17">
        <f xml:space="preserve"> (Tabla1[[#This Row],[Unit_Price]] - Tabla1[[#This Row],[Unit_Cost]] ) * Tabla1[[#This Row],[Quantity_Sold]]</f>
        <v>4327.2899999999991</v>
      </c>
      <c r="P231" s="12">
        <f>Tabla1[[#This Row],[Profit]] / Tabla1[[#This Row],[Sales_Calculated]]</f>
        <v>0.10571690533828484</v>
      </c>
      <c r="Q231" s="20">
        <f xml:space="preserve"> Tabla1[[#This Row],[Unit_Price]] * Tabla1[[#This Row],[Quantity_Sold]]</f>
        <v>40932.81</v>
      </c>
    </row>
    <row r="232" spans="1:17" x14ac:dyDescent="0.3">
      <c r="A232" s="2">
        <v>1001</v>
      </c>
      <c r="B232" s="1">
        <v>45183</v>
      </c>
      <c r="C232" s="8" t="s">
        <v>38</v>
      </c>
      <c r="D232" s="8" t="s">
        <v>25</v>
      </c>
      <c r="E232" s="6">
        <v>2126.33</v>
      </c>
      <c r="F232" s="2">
        <v>39</v>
      </c>
      <c r="G232" s="8" t="s">
        <v>26</v>
      </c>
      <c r="H232" s="6">
        <v>2437.2600000000002</v>
      </c>
      <c r="I232" s="6">
        <v>2889.67</v>
      </c>
      <c r="J232" s="8" t="s">
        <v>17</v>
      </c>
      <c r="K232" s="12">
        <v>0.25</v>
      </c>
      <c r="L232" s="8" t="s">
        <v>18</v>
      </c>
      <c r="M232" s="8" t="s">
        <v>19</v>
      </c>
      <c r="N232" s="10" t="s">
        <v>39</v>
      </c>
      <c r="O232" s="17">
        <f xml:space="preserve"> (Tabla1[[#This Row],[Unit_Price]] - Tabla1[[#This Row],[Unit_Cost]] ) * Tabla1[[#This Row],[Quantity_Sold]]</f>
        <v>17643.989999999994</v>
      </c>
      <c r="P232" s="12">
        <f>Tabla1[[#This Row],[Profit]] / Tabla1[[#This Row],[Sales_Calculated]]</f>
        <v>0.15656112981759157</v>
      </c>
      <c r="Q232" s="20">
        <f xml:space="preserve"> Tabla1[[#This Row],[Unit_Price]] * Tabla1[[#This Row],[Quantity_Sold]]</f>
        <v>112697.13</v>
      </c>
    </row>
    <row r="233" spans="1:17" x14ac:dyDescent="0.3">
      <c r="A233" s="2">
        <v>1019</v>
      </c>
      <c r="B233" s="1">
        <v>45228</v>
      </c>
      <c r="C233" s="8" t="s">
        <v>24</v>
      </c>
      <c r="D233" s="8" t="s">
        <v>21</v>
      </c>
      <c r="E233" s="6">
        <v>5952.19</v>
      </c>
      <c r="F233" s="2">
        <v>31</v>
      </c>
      <c r="G233" s="8" t="s">
        <v>26</v>
      </c>
      <c r="H233" s="6">
        <v>333.69</v>
      </c>
      <c r="I233" s="6">
        <v>685.1</v>
      </c>
      <c r="J233" s="8" t="s">
        <v>30</v>
      </c>
      <c r="K233" s="12">
        <v>0.04</v>
      </c>
      <c r="L233" s="8" t="s">
        <v>27</v>
      </c>
      <c r="M233" s="8" t="s">
        <v>19</v>
      </c>
      <c r="N233" s="10" t="s">
        <v>47</v>
      </c>
      <c r="O233" s="17">
        <f xml:space="preserve"> (Tabla1[[#This Row],[Unit_Price]] - Tabla1[[#This Row],[Unit_Cost]] ) * Tabla1[[#This Row],[Quantity_Sold]]</f>
        <v>10893.710000000001</v>
      </c>
      <c r="P233" s="12">
        <f>Tabla1[[#This Row],[Profit]] / Tabla1[[#This Row],[Sales_Calculated]]</f>
        <v>0.51293241862501826</v>
      </c>
      <c r="Q233" s="20">
        <f xml:space="preserve"> Tabla1[[#This Row],[Unit_Price]] * Tabla1[[#This Row],[Quantity_Sold]]</f>
        <v>21238.100000000002</v>
      </c>
    </row>
    <row r="234" spans="1:17" x14ac:dyDescent="0.3">
      <c r="A234" s="2">
        <v>1002</v>
      </c>
      <c r="B234" s="1">
        <v>45027</v>
      </c>
      <c r="C234" s="8" t="s">
        <v>14</v>
      </c>
      <c r="D234" s="8" t="s">
        <v>15</v>
      </c>
      <c r="E234" s="6">
        <v>1942.75</v>
      </c>
      <c r="F234" s="2">
        <v>21</v>
      </c>
      <c r="G234" s="8" t="s">
        <v>26</v>
      </c>
      <c r="H234" s="6">
        <v>914.22</v>
      </c>
      <c r="I234" s="6">
        <v>971.57</v>
      </c>
      <c r="J234" s="8" t="s">
        <v>17</v>
      </c>
      <c r="K234" s="12">
        <v>0.14000000000000001</v>
      </c>
      <c r="L234" s="8" t="s">
        <v>18</v>
      </c>
      <c r="M234" s="8" t="s">
        <v>19</v>
      </c>
      <c r="N234" s="10" t="s">
        <v>20</v>
      </c>
      <c r="O234" s="17">
        <f xml:space="preserve"> (Tabla1[[#This Row],[Unit_Price]] - Tabla1[[#This Row],[Unit_Cost]] ) * Tabla1[[#This Row],[Quantity_Sold]]</f>
        <v>1204.3500000000004</v>
      </c>
      <c r="P234" s="12">
        <f>Tabla1[[#This Row],[Profit]] / Tabla1[[#This Row],[Sales_Calculated]]</f>
        <v>5.9028170898648591E-2</v>
      </c>
      <c r="Q234" s="20">
        <f xml:space="preserve"> Tabla1[[#This Row],[Unit_Price]] * Tabla1[[#This Row],[Quantity_Sold]]</f>
        <v>20402.97</v>
      </c>
    </row>
    <row r="235" spans="1:17" x14ac:dyDescent="0.3">
      <c r="A235" s="2">
        <v>1053</v>
      </c>
      <c r="B235" s="1">
        <v>45272</v>
      </c>
      <c r="C235" s="8" t="s">
        <v>42</v>
      </c>
      <c r="D235" s="8" t="s">
        <v>25</v>
      </c>
      <c r="E235" s="6">
        <v>3382.49</v>
      </c>
      <c r="F235" s="2">
        <v>47</v>
      </c>
      <c r="G235" s="8" t="s">
        <v>35</v>
      </c>
      <c r="H235" s="6">
        <v>3551.76</v>
      </c>
      <c r="I235" s="6">
        <v>3696.1</v>
      </c>
      <c r="J235" s="8" t="s">
        <v>17</v>
      </c>
      <c r="K235" s="12">
        <v>0.15</v>
      </c>
      <c r="L235" s="8" t="s">
        <v>27</v>
      </c>
      <c r="M235" s="8" t="s">
        <v>22</v>
      </c>
      <c r="N235" s="10" t="s">
        <v>43</v>
      </c>
      <c r="O235" s="17">
        <f xml:space="preserve"> (Tabla1[[#This Row],[Unit_Price]] - Tabla1[[#This Row],[Unit_Cost]] ) * Tabla1[[#This Row],[Quantity_Sold]]</f>
        <v>6783.979999999985</v>
      </c>
      <c r="P235" s="12">
        <f>Tabla1[[#This Row],[Profit]] / Tabla1[[#This Row],[Sales_Calculated]]</f>
        <v>3.9051973702010141E-2</v>
      </c>
      <c r="Q235" s="20">
        <f xml:space="preserve"> Tabla1[[#This Row],[Unit_Price]] * Tabla1[[#This Row],[Quantity_Sold]]</f>
        <v>173716.69999999998</v>
      </c>
    </row>
    <row r="236" spans="1:17" x14ac:dyDescent="0.3">
      <c r="A236" s="2">
        <v>1044</v>
      </c>
      <c r="B236" s="1">
        <v>45036</v>
      </c>
      <c r="C236" s="8" t="s">
        <v>33</v>
      </c>
      <c r="D236" s="8" t="s">
        <v>21</v>
      </c>
      <c r="E236" s="6">
        <v>8564.7999999999993</v>
      </c>
      <c r="F236" s="2">
        <v>34</v>
      </c>
      <c r="G236" s="8" t="s">
        <v>26</v>
      </c>
      <c r="H236" s="6">
        <v>3573.3</v>
      </c>
      <c r="I236" s="6">
        <v>3740.13</v>
      </c>
      <c r="J236" s="8" t="s">
        <v>17</v>
      </c>
      <c r="K236" s="12">
        <v>0.01</v>
      </c>
      <c r="L236" s="8" t="s">
        <v>31</v>
      </c>
      <c r="M236" s="8" t="s">
        <v>19</v>
      </c>
      <c r="N236" s="10" t="s">
        <v>37</v>
      </c>
      <c r="O236" s="17">
        <f xml:space="preserve"> (Tabla1[[#This Row],[Unit_Price]] - Tabla1[[#This Row],[Unit_Cost]] ) * Tabla1[[#This Row],[Quantity_Sold]]</f>
        <v>5672.2199999999975</v>
      </c>
      <c r="P236" s="12">
        <f>Tabla1[[#This Row],[Profit]] / Tabla1[[#This Row],[Sales_Calculated]]</f>
        <v>4.4605401416528287E-2</v>
      </c>
      <c r="Q236" s="20">
        <f xml:space="preserve"> Tabla1[[#This Row],[Unit_Price]] * Tabla1[[#This Row],[Quantity_Sold]]</f>
        <v>127164.42</v>
      </c>
    </row>
    <row r="237" spans="1:17" x14ac:dyDescent="0.3">
      <c r="A237" s="2">
        <v>1090</v>
      </c>
      <c r="B237" s="1">
        <v>45108</v>
      </c>
      <c r="C237" s="8" t="s">
        <v>24</v>
      </c>
      <c r="D237" s="8" t="s">
        <v>15</v>
      </c>
      <c r="E237" s="6">
        <v>2150.0500000000002</v>
      </c>
      <c r="F237" s="2">
        <v>31</v>
      </c>
      <c r="G237" s="8" t="s">
        <v>16</v>
      </c>
      <c r="H237" s="6">
        <v>4496.8599999999997</v>
      </c>
      <c r="I237" s="6">
        <v>4880.7999999999902</v>
      </c>
      <c r="J237" s="8" t="s">
        <v>30</v>
      </c>
      <c r="K237" s="12">
        <v>0.06</v>
      </c>
      <c r="L237" s="8" t="s">
        <v>18</v>
      </c>
      <c r="M237" s="8" t="s">
        <v>22</v>
      </c>
      <c r="N237" s="10" t="s">
        <v>45</v>
      </c>
      <c r="O237" s="17">
        <f xml:space="preserve"> (Tabla1[[#This Row],[Unit_Price]] - Tabla1[[#This Row],[Unit_Cost]] ) * Tabla1[[#This Row],[Quantity_Sold]]</f>
        <v>11902.139999999705</v>
      </c>
      <c r="P237" s="12">
        <f>Tabla1[[#This Row],[Profit]] / Tabla1[[#This Row],[Sales_Calculated]]</f>
        <v>7.8663333879690059E-2</v>
      </c>
      <c r="Q237" s="20">
        <f xml:space="preserve"> Tabla1[[#This Row],[Unit_Price]] * Tabla1[[#This Row],[Quantity_Sold]]</f>
        <v>151304.7999999997</v>
      </c>
    </row>
    <row r="238" spans="1:17" x14ac:dyDescent="0.3">
      <c r="A238" s="2">
        <v>1032</v>
      </c>
      <c r="B238" s="1">
        <v>45239</v>
      </c>
      <c r="C238" s="8" t="s">
        <v>14</v>
      </c>
      <c r="D238" s="8" t="s">
        <v>34</v>
      </c>
      <c r="E238" s="6">
        <v>804.47</v>
      </c>
      <c r="F238" s="2">
        <v>25</v>
      </c>
      <c r="G238" s="8" t="s">
        <v>35</v>
      </c>
      <c r="H238" s="6">
        <v>2934.3</v>
      </c>
      <c r="I238" s="6">
        <v>3337.4</v>
      </c>
      <c r="J238" s="8" t="s">
        <v>17</v>
      </c>
      <c r="K238" s="12">
        <v>0.25</v>
      </c>
      <c r="L238" s="8" t="s">
        <v>31</v>
      </c>
      <c r="M238" s="8" t="s">
        <v>22</v>
      </c>
      <c r="N238" s="10" t="s">
        <v>46</v>
      </c>
      <c r="O238" s="17">
        <f xml:space="preserve"> (Tabla1[[#This Row],[Unit_Price]] - Tabla1[[#This Row],[Unit_Cost]] ) * Tabla1[[#This Row],[Quantity_Sold]]</f>
        <v>10077.499999999998</v>
      </c>
      <c r="P238" s="12">
        <f>Tabla1[[#This Row],[Profit]] / Tabla1[[#This Row],[Sales_Calculated]]</f>
        <v>0.12078264517288906</v>
      </c>
      <c r="Q238" s="20">
        <f xml:space="preserve"> Tabla1[[#This Row],[Unit_Price]] * Tabla1[[#This Row],[Quantity_Sold]]</f>
        <v>83435</v>
      </c>
    </row>
    <row r="239" spans="1:17" x14ac:dyDescent="0.3">
      <c r="A239" s="2">
        <v>1070</v>
      </c>
      <c r="B239" s="1">
        <v>44927</v>
      </c>
      <c r="C239" s="8" t="s">
        <v>38</v>
      </c>
      <c r="D239" s="8" t="s">
        <v>25</v>
      </c>
      <c r="E239" s="6">
        <v>783.18</v>
      </c>
      <c r="F239" s="2">
        <v>12</v>
      </c>
      <c r="G239" s="8" t="s">
        <v>16</v>
      </c>
      <c r="H239" s="6">
        <v>664.33</v>
      </c>
      <c r="I239" s="6">
        <v>863.03</v>
      </c>
      <c r="J239" s="8" t="s">
        <v>17</v>
      </c>
      <c r="K239" s="12">
        <v>0.25</v>
      </c>
      <c r="L239" s="8" t="s">
        <v>27</v>
      </c>
      <c r="M239" s="8" t="s">
        <v>22</v>
      </c>
      <c r="N239" s="10" t="s">
        <v>39</v>
      </c>
      <c r="O239" s="17">
        <f xml:space="preserve"> (Tabla1[[#This Row],[Unit_Price]] - Tabla1[[#This Row],[Unit_Cost]] ) * Tabla1[[#This Row],[Quantity_Sold]]</f>
        <v>2384.3999999999992</v>
      </c>
      <c r="P239" s="12">
        <f>Tabla1[[#This Row],[Profit]] / Tabla1[[#This Row],[Sales_Calculated]]</f>
        <v>0.23023533365004684</v>
      </c>
      <c r="Q239" s="20">
        <f xml:space="preserve"> Tabla1[[#This Row],[Unit_Price]] * Tabla1[[#This Row],[Quantity_Sold]]</f>
        <v>10356.36</v>
      </c>
    </row>
    <row r="240" spans="1:17" x14ac:dyDescent="0.3">
      <c r="A240" s="2">
        <v>1032</v>
      </c>
      <c r="B240" s="1">
        <v>45245</v>
      </c>
      <c r="C240" s="8" t="s">
        <v>42</v>
      </c>
      <c r="D240" s="8" t="s">
        <v>21</v>
      </c>
      <c r="E240" s="6">
        <v>9413.77</v>
      </c>
      <c r="F240" s="2">
        <v>1</v>
      </c>
      <c r="G240" s="8" t="s">
        <v>26</v>
      </c>
      <c r="H240" s="6">
        <v>651</v>
      </c>
      <c r="I240" s="6">
        <v>865.76</v>
      </c>
      <c r="J240" s="8" t="s">
        <v>17</v>
      </c>
      <c r="K240" s="12">
        <v>0.09</v>
      </c>
      <c r="L240" s="8" t="s">
        <v>27</v>
      </c>
      <c r="M240" s="8" t="s">
        <v>22</v>
      </c>
      <c r="N240" s="10" t="s">
        <v>51</v>
      </c>
      <c r="O240" s="17">
        <f xml:space="preserve"> (Tabla1[[#This Row],[Unit_Price]] - Tabla1[[#This Row],[Unit_Cost]] ) * Tabla1[[#This Row],[Quantity_Sold]]</f>
        <v>214.76</v>
      </c>
      <c r="P240" s="12">
        <f>Tabla1[[#This Row],[Profit]] / Tabla1[[#This Row],[Sales_Calculated]]</f>
        <v>0.2480595084087969</v>
      </c>
      <c r="Q240" s="20">
        <f xml:space="preserve"> Tabla1[[#This Row],[Unit_Price]] * Tabla1[[#This Row],[Quantity_Sold]]</f>
        <v>865.76</v>
      </c>
    </row>
    <row r="241" spans="1:17" x14ac:dyDescent="0.3">
      <c r="A241" s="2">
        <v>1068</v>
      </c>
      <c r="B241" s="1">
        <v>44981</v>
      </c>
      <c r="C241" s="8" t="s">
        <v>14</v>
      </c>
      <c r="D241" s="8" t="s">
        <v>15</v>
      </c>
      <c r="E241" s="6">
        <v>5118.51</v>
      </c>
      <c r="F241" s="2">
        <v>22</v>
      </c>
      <c r="G241" s="8" t="s">
        <v>29</v>
      </c>
      <c r="H241" s="6">
        <v>3619.61</v>
      </c>
      <c r="I241" s="6">
        <v>3651.42</v>
      </c>
      <c r="J241" s="8" t="s">
        <v>17</v>
      </c>
      <c r="K241" s="12">
        <v>0.26</v>
      </c>
      <c r="L241" s="8" t="s">
        <v>27</v>
      </c>
      <c r="M241" s="8" t="s">
        <v>19</v>
      </c>
      <c r="N241" s="10" t="s">
        <v>20</v>
      </c>
      <c r="O241" s="17">
        <f xml:space="preserve"> (Tabla1[[#This Row],[Unit_Price]] - Tabla1[[#This Row],[Unit_Cost]] ) * Tabla1[[#This Row],[Quantity_Sold]]</f>
        <v>699.8199999999988</v>
      </c>
      <c r="P241" s="12">
        <f>Tabla1[[#This Row],[Profit]] / Tabla1[[#This Row],[Sales_Calculated]]</f>
        <v>8.7116792918919064E-3</v>
      </c>
      <c r="Q241" s="20">
        <f xml:space="preserve"> Tabla1[[#This Row],[Unit_Price]] * Tabla1[[#This Row],[Quantity_Sold]]</f>
        <v>80331.240000000005</v>
      </c>
    </row>
    <row r="242" spans="1:17" x14ac:dyDescent="0.3">
      <c r="A242" s="2">
        <v>1055</v>
      </c>
      <c r="B242" s="1">
        <v>45075</v>
      </c>
      <c r="C242" s="8" t="s">
        <v>38</v>
      </c>
      <c r="D242" s="8" t="s">
        <v>15</v>
      </c>
      <c r="E242" s="6">
        <v>4153.18</v>
      </c>
      <c r="F242" s="2">
        <v>40</v>
      </c>
      <c r="G242" s="8" t="s">
        <v>16</v>
      </c>
      <c r="H242" s="6">
        <v>959.73</v>
      </c>
      <c r="I242" s="6">
        <v>1111.4100000000001</v>
      </c>
      <c r="J242" s="8" t="s">
        <v>30</v>
      </c>
      <c r="K242" s="12">
        <v>0.23</v>
      </c>
      <c r="L242" s="8" t="s">
        <v>27</v>
      </c>
      <c r="M242" s="8" t="s">
        <v>19</v>
      </c>
      <c r="N242" s="10" t="s">
        <v>40</v>
      </c>
      <c r="O242" s="17">
        <f xml:space="preserve"> (Tabla1[[#This Row],[Unit_Price]] - Tabla1[[#This Row],[Unit_Cost]] ) * Tabla1[[#This Row],[Quantity_Sold]]</f>
        <v>6067.2000000000025</v>
      </c>
      <c r="P242" s="12">
        <f>Tabla1[[#This Row],[Profit]] / Tabla1[[#This Row],[Sales_Calculated]]</f>
        <v>0.13647528814748838</v>
      </c>
      <c r="Q242" s="20">
        <f xml:space="preserve"> Tabla1[[#This Row],[Unit_Price]] * Tabla1[[#This Row],[Quantity_Sold]]</f>
        <v>44456.4</v>
      </c>
    </row>
    <row r="243" spans="1:17" x14ac:dyDescent="0.3">
      <c r="A243" s="2">
        <v>1075</v>
      </c>
      <c r="B243" s="1">
        <v>45235</v>
      </c>
      <c r="C243" s="8" t="s">
        <v>14</v>
      </c>
      <c r="D243" s="8" t="s">
        <v>34</v>
      </c>
      <c r="E243" s="6">
        <v>8127.7</v>
      </c>
      <c r="F243" s="2">
        <v>37</v>
      </c>
      <c r="G243" s="8" t="s">
        <v>26</v>
      </c>
      <c r="H243" s="6">
        <v>1675.51</v>
      </c>
      <c r="I243" s="6">
        <v>1906.6399999999901</v>
      </c>
      <c r="J243" s="8" t="s">
        <v>30</v>
      </c>
      <c r="K243" s="12">
        <v>0.13</v>
      </c>
      <c r="L243" s="8" t="s">
        <v>27</v>
      </c>
      <c r="M243" s="8" t="s">
        <v>19</v>
      </c>
      <c r="N243" s="10" t="s">
        <v>46</v>
      </c>
      <c r="O243" s="17">
        <f xml:space="preserve"> (Tabla1[[#This Row],[Unit_Price]] - Tabla1[[#This Row],[Unit_Cost]] ) * Tabla1[[#This Row],[Quantity_Sold]]</f>
        <v>8551.8099999996339</v>
      </c>
      <c r="P243" s="12">
        <f>Tabla1[[#This Row],[Profit]] / Tabla1[[#This Row],[Sales_Calculated]]</f>
        <v>0.12122372340871446</v>
      </c>
      <c r="Q243" s="20">
        <f xml:space="preserve"> Tabla1[[#This Row],[Unit_Price]] * Tabla1[[#This Row],[Quantity_Sold]]</f>
        <v>70545.679999999629</v>
      </c>
    </row>
    <row r="244" spans="1:17" x14ac:dyDescent="0.3">
      <c r="A244" s="2">
        <v>1056</v>
      </c>
      <c r="B244" s="1">
        <v>45063</v>
      </c>
      <c r="C244" s="8" t="s">
        <v>24</v>
      </c>
      <c r="D244" s="8" t="s">
        <v>21</v>
      </c>
      <c r="E244" s="6">
        <v>8374.68</v>
      </c>
      <c r="F244" s="2">
        <v>47</v>
      </c>
      <c r="G244" s="8" t="s">
        <v>16</v>
      </c>
      <c r="H244" s="6">
        <v>2461.6999999999998</v>
      </c>
      <c r="I244" s="6">
        <v>2529.02</v>
      </c>
      <c r="J244" s="8" t="s">
        <v>17</v>
      </c>
      <c r="K244" s="12">
        <v>0.22</v>
      </c>
      <c r="L244" s="8" t="s">
        <v>18</v>
      </c>
      <c r="M244" s="8" t="s">
        <v>22</v>
      </c>
      <c r="N244" s="10" t="s">
        <v>47</v>
      </c>
      <c r="O244" s="17">
        <f xml:space="preserve"> (Tabla1[[#This Row],[Unit_Price]] - Tabla1[[#This Row],[Unit_Cost]] ) * Tabla1[[#This Row],[Quantity_Sold]]</f>
        <v>3164.0400000000077</v>
      </c>
      <c r="P244" s="12">
        <f>Tabla1[[#This Row],[Profit]] / Tabla1[[#This Row],[Sales_Calculated]]</f>
        <v>2.6619006571715589E-2</v>
      </c>
      <c r="Q244" s="20">
        <f xml:space="preserve"> Tabla1[[#This Row],[Unit_Price]] * Tabla1[[#This Row],[Quantity_Sold]]</f>
        <v>118863.94</v>
      </c>
    </row>
    <row r="245" spans="1:17" x14ac:dyDescent="0.3">
      <c r="A245" s="2">
        <v>1017</v>
      </c>
      <c r="B245" s="1">
        <v>45128</v>
      </c>
      <c r="C245" s="8" t="s">
        <v>24</v>
      </c>
      <c r="D245" s="8" t="s">
        <v>34</v>
      </c>
      <c r="E245" s="6">
        <v>3388.69</v>
      </c>
      <c r="F245" s="2">
        <v>1</v>
      </c>
      <c r="G245" s="8" t="s">
        <v>26</v>
      </c>
      <c r="H245" s="6">
        <v>172.59</v>
      </c>
      <c r="I245" s="6">
        <v>404.69</v>
      </c>
      <c r="J245" s="8" t="s">
        <v>17</v>
      </c>
      <c r="K245" s="12">
        <v>0.28999999999999998</v>
      </c>
      <c r="L245" s="8" t="s">
        <v>27</v>
      </c>
      <c r="M245" s="8" t="s">
        <v>19</v>
      </c>
      <c r="N245" s="10" t="s">
        <v>50</v>
      </c>
      <c r="O245" s="17">
        <f xml:space="preserve"> (Tabla1[[#This Row],[Unit_Price]] - Tabla1[[#This Row],[Unit_Cost]] ) * Tabla1[[#This Row],[Quantity_Sold]]</f>
        <v>232.1</v>
      </c>
      <c r="P245" s="12">
        <f>Tabla1[[#This Row],[Profit]] / Tabla1[[#This Row],[Sales_Calculated]]</f>
        <v>0.57352541451481376</v>
      </c>
      <c r="Q245" s="20">
        <f xml:space="preserve"> Tabla1[[#This Row],[Unit_Price]] * Tabla1[[#This Row],[Quantity_Sold]]</f>
        <v>404.69</v>
      </c>
    </row>
    <row r="246" spans="1:17" x14ac:dyDescent="0.3">
      <c r="A246" s="2">
        <v>1038</v>
      </c>
      <c r="B246" s="1">
        <v>45239</v>
      </c>
      <c r="C246" s="8" t="s">
        <v>24</v>
      </c>
      <c r="D246" s="8" t="s">
        <v>34</v>
      </c>
      <c r="E246" s="6">
        <v>6966.82</v>
      </c>
      <c r="F246" s="2">
        <v>1</v>
      </c>
      <c r="G246" s="8" t="s">
        <v>26</v>
      </c>
      <c r="H246" s="6">
        <v>1281.6500000000001</v>
      </c>
      <c r="I246" s="6">
        <v>1709.71</v>
      </c>
      <c r="J246" s="8" t="s">
        <v>17</v>
      </c>
      <c r="K246" s="12">
        <v>0.14000000000000001</v>
      </c>
      <c r="L246" s="8" t="s">
        <v>31</v>
      </c>
      <c r="M246" s="8" t="s">
        <v>19</v>
      </c>
      <c r="N246" s="10" t="s">
        <v>50</v>
      </c>
      <c r="O246" s="17">
        <f xml:space="preserve"> (Tabla1[[#This Row],[Unit_Price]] - Tabla1[[#This Row],[Unit_Cost]] ) * Tabla1[[#This Row],[Quantity_Sold]]</f>
        <v>428.05999999999995</v>
      </c>
      <c r="P246" s="12">
        <f>Tabla1[[#This Row],[Profit]] / Tabla1[[#This Row],[Sales_Calculated]]</f>
        <v>0.25036994578027849</v>
      </c>
      <c r="Q246" s="20">
        <f xml:space="preserve"> Tabla1[[#This Row],[Unit_Price]] * Tabla1[[#This Row],[Quantity_Sold]]</f>
        <v>1709.71</v>
      </c>
    </row>
    <row r="247" spans="1:17" x14ac:dyDescent="0.3">
      <c r="A247" s="2">
        <v>1024</v>
      </c>
      <c r="B247" s="1">
        <v>45043</v>
      </c>
      <c r="C247" s="8" t="s">
        <v>42</v>
      </c>
      <c r="D247" s="8" t="s">
        <v>21</v>
      </c>
      <c r="E247" s="6">
        <v>7734.12</v>
      </c>
      <c r="F247" s="2">
        <v>42</v>
      </c>
      <c r="G247" s="8" t="s">
        <v>26</v>
      </c>
      <c r="H247" s="6">
        <v>2069.0500000000002</v>
      </c>
      <c r="I247" s="6">
        <v>2363.9</v>
      </c>
      <c r="J247" s="8" t="s">
        <v>17</v>
      </c>
      <c r="K247" s="12">
        <v>7.0000000000000007E-2</v>
      </c>
      <c r="L247" s="8" t="s">
        <v>18</v>
      </c>
      <c r="M247" s="8" t="s">
        <v>19</v>
      </c>
      <c r="N247" s="10" t="s">
        <v>51</v>
      </c>
      <c r="O247" s="17">
        <f xml:space="preserve"> (Tabla1[[#This Row],[Unit_Price]] - Tabla1[[#This Row],[Unit_Cost]] ) * Tabla1[[#This Row],[Quantity_Sold]]</f>
        <v>12383.699999999997</v>
      </c>
      <c r="P247" s="12">
        <f>Tabla1[[#This Row],[Profit]] / Tabla1[[#This Row],[Sales_Calculated]]</f>
        <v>0.12473031854139342</v>
      </c>
      <c r="Q247" s="20">
        <f xml:space="preserve"> Tabla1[[#This Row],[Unit_Price]] * Tabla1[[#This Row],[Quantity_Sold]]</f>
        <v>99283.8</v>
      </c>
    </row>
    <row r="248" spans="1:17" x14ac:dyDescent="0.3">
      <c r="A248" s="2">
        <v>1069</v>
      </c>
      <c r="B248" s="1">
        <v>45080</v>
      </c>
      <c r="C248" s="8" t="s">
        <v>24</v>
      </c>
      <c r="D248" s="8" t="s">
        <v>21</v>
      </c>
      <c r="E248" s="6">
        <v>6581.04</v>
      </c>
      <c r="F248" s="2">
        <v>42</v>
      </c>
      <c r="G248" s="8" t="s">
        <v>29</v>
      </c>
      <c r="H248" s="6">
        <v>1434.2</v>
      </c>
      <c r="I248" s="6">
        <v>1482.88</v>
      </c>
      <c r="J248" s="8" t="s">
        <v>30</v>
      </c>
      <c r="K248" s="12">
        <v>0.28000000000000003</v>
      </c>
      <c r="L248" s="8" t="s">
        <v>31</v>
      </c>
      <c r="M248" s="8" t="s">
        <v>22</v>
      </c>
      <c r="N248" s="10" t="s">
        <v>47</v>
      </c>
      <c r="O248" s="17">
        <f xml:space="preserve"> (Tabla1[[#This Row],[Unit_Price]] - Tabla1[[#This Row],[Unit_Cost]] ) * Tabla1[[#This Row],[Quantity_Sold]]</f>
        <v>2044.5600000000027</v>
      </c>
      <c r="P248" s="12">
        <f>Tabla1[[#This Row],[Profit]] / Tabla1[[#This Row],[Sales_Calculated]]</f>
        <v>3.282801035822188E-2</v>
      </c>
      <c r="Q248" s="20">
        <f xml:space="preserve"> Tabla1[[#This Row],[Unit_Price]] * Tabla1[[#This Row],[Quantity_Sold]]</f>
        <v>62280.960000000006</v>
      </c>
    </row>
    <row r="249" spans="1:17" x14ac:dyDescent="0.3">
      <c r="A249" s="2">
        <v>1098</v>
      </c>
      <c r="B249" s="1">
        <v>45217</v>
      </c>
      <c r="C249" s="8" t="s">
        <v>38</v>
      </c>
      <c r="D249" s="8" t="s">
        <v>21</v>
      </c>
      <c r="E249" s="6">
        <v>1600.79</v>
      </c>
      <c r="F249" s="2">
        <v>21</v>
      </c>
      <c r="G249" s="8" t="s">
        <v>16</v>
      </c>
      <c r="H249" s="6">
        <v>725.03</v>
      </c>
      <c r="I249" s="6">
        <v>828.94999999999902</v>
      </c>
      <c r="J249" s="8" t="s">
        <v>30</v>
      </c>
      <c r="K249" s="12">
        <v>0.18</v>
      </c>
      <c r="L249" s="8" t="s">
        <v>27</v>
      </c>
      <c r="M249" s="8" t="s">
        <v>19</v>
      </c>
      <c r="N249" s="10" t="s">
        <v>41</v>
      </c>
      <c r="O249" s="17">
        <f xml:space="preserve"> (Tabla1[[#This Row],[Unit_Price]] - Tabla1[[#This Row],[Unit_Cost]] ) * Tabla1[[#This Row],[Quantity_Sold]]</f>
        <v>2182.3199999999802</v>
      </c>
      <c r="P249" s="12">
        <f>Tabla1[[#This Row],[Profit]] / Tabla1[[#This Row],[Sales_Calculated]]</f>
        <v>0.12536341154472427</v>
      </c>
      <c r="Q249" s="20">
        <f xml:space="preserve"> Tabla1[[#This Row],[Unit_Price]] * Tabla1[[#This Row],[Quantity_Sold]]</f>
        <v>17407.949999999979</v>
      </c>
    </row>
    <row r="250" spans="1:17" x14ac:dyDescent="0.3">
      <c r="A250" s="2">
        <v>1070</v>
      </c>
      <c r="B250" s="1">
        <v>44989</v>
      </c>
      <c r="C250" s="8" t="s">
        <v>14</v>
      </c>
      <c r="D250" s="8" t="s">
        <v>25</v>
      </c>
      <c r="E250" s="6">
        <v>8771.24</v>
      </c>
      <c r="F250" s="2">
        <v>15</v>
      </c>
      <c r="G250" s="8" t="s">
        <v>35</v>
      </c>
      <c r="H250" s="6">
        <v>3653.66</v>
      </c>
      <c r="I250" s="6">
        <v>3896.19</v>
      </c>
      <c r="J250" s="8" t="s">
        <v>30</v>
      </c>
      <c r="K250" s="12">
        <v>0.03</v>
      </c>
      <c r="L250" s="8" t="s">
        <v>31</v>
      </c>
      <c r="M250" s="8" t="s">
        <v>22</v>
      </c>
      <c r="N250" s="10" t="s">
        <v>32</v>
      </c>
      <c r="O250" s="17">
        <f xml:space="preserve"> (Tabla1[[#This Row],[Unit_Price]] - Tabla1[[#This Row],[Unit_Cost]] ) * Tabla1[[#This Row],[Quantity_Sold]]</f>
        <v>3637.950000000003</v>
      </c>
      <c r="P250" s="12">
        <f>Tabla1[[#This Row],[Profit]] / Tabla1[[#This Row],[Sales_Calculated]]</f>
        <v>6.2247990986065926E-2</v>
      </c>
      <c r="Q250" s="20">
        <f xml:space="preserve"> Tabla1[[#This Row],[Unit_Price]] * Tabla1[[#This Row],[Quantity_Sold]]</f>
        <v>58442.85</v>
      </c>
    </row>
    <row r="251" spans="1:17" x14ac:dyDescent="0.3">
      <c r="A251" s="2">
        <v>1086</v>
      </c>
      <c r="B251" s="1">
        <v>45170</v>
      </c>
      <c r="C251" s="8" t="s">
        <v>33</v>
      </c>
      <c r="D251" s="8" t="s">
        <v>21</v>
      </c>
      <c r="E251" s="6">
        <v>5437.04</v>
      </c>
      <c r="F251" s="2">
        <v>17</v>
      </c>
      <c r="G251" s="8" t="s">
        <v>35</v>
      </c>
      <c r="H251" s="6">
        <v>4075.08</v>
      </c>
      <c r="I251" s="6">
        <v>4262.21</v>
      </c>
      <c r="J251" s="8" t="s">
        <v>30</v>
      </c>
      <c r="K251" s="12">
        <v>0.17</v>
      </c>
      <c r="L251" s="8" t="s">
        <v>18</v>
      </c>
      <c r="M251" s="8" t="s">
        <v>19</v>
      </c>
      <c r="N251" s="10" t="s">
        <v>37</v>
      </c>
      <c r="O251" s="17">
        <f xml:space="preserve"> (Tabla1[[#This Row],[Unit_Price]] - Tabla1[[#This Row],[Unit_Cost]] ) * Tabla1[[#This Row],[Quantity_Sold]]</f>
        <v>3181.2100000000019</v>
      </c>
      <c r="P251" s="12">
        <f>Tabla1[[#This Row],[Profit]] / Tabla1[[#This Row],[Sales_Calculated]]</f>
        <v>4.3904453323510596E-2</v>
      </c>
      <c r="Q251" s="20">
        <f xml:space="preserve"> Tabla1[[#This Row],[Unit_Price]] * Tabla1[[#This Row],[Quantity_Sold]]</f>
        <v>72457.570000000007</v>
      </c>
    </row>
    <row r="252" spans="1:17" x14ac:dyDescent="0.3">
      <c r="A252" s="2">
        <v>1011</v>
      </c>
      <c r="B252" s="1">
        <v>44951</v>
      </c>
      <c r="C252" s="8" t="s">
        <v>38</v>
      </c>
      <c r="D252" s="8" t="s">
        <v>15</v>
      </c>
      <c r="E252" s="6">
        <v>2896.48</v>
      </c>
      <c r="F252" s="2">
        <v>22</v>
      </c>
      <c r="G252" s="8" t="s">
        <v>35</v>
      </c>
      <c r="H252" s="6">
        <v>1324.52</v>
      </c>
      <c r="I252" s="6">
        <v>1510.3</v>
      </c>
      <c r="J252" s="8" t="s">
        <v>17</v>
      </c>
      <c r="K252" s="12">
        <v>0.15</v>
      </c>
      <c r="L252" s="8" t="s">
        <v>18</v>
      </c>
      <c r="M252" s="8" t="s">
        <v>22</v>
      </c>
      <c r="N252" s="10" t="s">
        <v>40</v>
      </c>
      <c r="O252" s="17">
        <f xml:space="preserve"> (Tabla1[[#This Row],[Unit_Price]] - Tabla1[[#This Row],[Unit_Cost]] ) * Tabla1[[#This Row],[Quantity_Sold]]</f>
        <v>4087.1599999999994</v>
      </c>
      <c r="P252" s="12">
        <f>Tabla1[[#This Row],[Profit]] / Tabla1[[#This Row],[Sales_Calculated]]</f>
        <v>0.12300867377342249</v>
      </c>
      <c r="Q252" s="20">
        <f xml:space="preserve"> Tabla1[[#This Row],[Unit_Price]] * Tabla1[[#This Row],[Quantity_Sold]]</f>
        <v>33226.6</v>
      </c>
    </row>
    <row r="253" spans="1:17" x14ac:dyDescent="0.3">
      <c r="A253" s="2">
        <v>1016</v>
      </c>
      <c r="B253" s="1">
        <v>45016</v>
      </c>
      <c r="C253" s="8" t="s">
        <v>38</v>
      </c>
      <c r="D253" s="8" t="s">
        <v>34</v>
      </c>
      <c r="E253" s="6">
        <v>4309.76</v>
      </c>
      <c r="F253" s="2">
        <v>38</v>
      </c>
      <c r="G253" s="8" t="s">
        <v>35</v>
      </c>
      <c r="H253" s="6">
        <v>3883.38</v>
      </c>
      <c r="I253" s="6">
        <v>4152.72</v>
      </c>
      <c r="J253" s="8" t="s">
        <v>17</v>
      </c>
      <c r="K253" s="12">
        <v>0.26</v>
      </c>
      <c r="L253" s="8" t="s">
        <v>18</v>
      </c>
      <c r="M253" s="8" t="s">
        <v>19</v>
      </c>
      <c r="N253" s="10" t="s">
        <v>48</v>
      </c>
      <c r="O253" s="17">
        <f xml:space="preserve"> (Tabla1[[#This Row],[Unit_Price]] - Tabla1[[#This Row],[Unit_Cost]] ) * Tabla1[[#This Row],[Quantity_Sold]]</f>
        <v>10234.920000000006</v>
      </c>
      <c r="P253" s="12">
        <f>Tabla1[[#This Row],[Profit]] / Tabla1[[#This Row],[Sales_Calculated]]</f>
        <v>6.4858695023984309E-2</v>
      </c>
      <c r="Q253" s="20">
        <f xml:space="preserve"> Tabla1[[#This Row],[Unit_Price]] * Tabla1[[#This Row],[Quantity_Sold]]</f>
        <v>157803.36000000002</v>
      </c>
    </row>
    <row r="254" spans="1:17" x14ac:dyDescent="0.3">
      <c r="A254" s="2">
        <v>1097</v>
      </c>
      <c r="B254" s="1">
        <v>45001</v>
      </c>
      <c r="C254" s="8" t="s">
        <v>24</v>
      </c>
      <c r="D254" s="8" t="s">
        <v>25</v>
      </c>
      <c r="E254" s="6">
        <v>471.95</v>
      </c>
      <c r="F254" s="2">
        <v>35</v>
      </c>
      <c r="G254" s="8" t="s">
        <v>26</v>
      </c>
      <c r="H254" s="6">
        <v>1958.49</v>
      </c>
      <c r="I254" s="6">
        <v>2254.84</v>
      </c>
      <c r="J254" s="8" t="s">
        <v>30</v>
      </c>
      <c r="K254" s="12">
        <v>0.16</v>
      </c>
      <c r="L254" s="8" t="s">
        <v>31</v>
      </c>
      <c r="M254" s="8" t="s">
        <v>19</v>
      </c>
      <c r="N254" s="10" t="s">
        <v>28</v>
      </c>
      <c r="O254" s="17">
        <f xml:space="preserve"> (Tabla1[[#This Row],[Unit_Price]] - Tabla1[[#This Row],[Unit_Cost]] ) * Tabla1[[#This Row],[Quantity_Sold]]</f>
        <v>10372.250000000005</v>
      </c>
      <c r="P254" s="12">
        <f>Tabla1[[#This Row],[Profit]] / Tabla1[[#This Row],[Sales_Calculated]]</f>
        <v>0.13142839403239259</v>
      </c>
      <c r="Q254" s="20">
        <f xml:space="preserve"> Tabla1[[#This Row],[Unit_Price]] * Tabla1[[#This Row],[Quantity_Sold]]</f>
        <v>78919.400000000009</v>
      </c>
    </row>
    <row r="255" spans="1:17" x14ac:dyDescent="0.3">
      <c r="A255" s="2">
        <v>1073</v>
      </c>
      <c r="B255" s="1">
        <v>45220</v>
      </c>
      <c r="C255" s="8" t="s">
        <v>42</v>
      </c>
      <c r="D255" s="8" t="s">
        <v>21</v>
      </c>
      <c r="E255" s="6">
        <v>1365.88</v>
      </c>
      <c r="F255" s="2">
        <v>45</v>
      </c>
      <c r="G255" s="8" t="s">
        <v>16</v>
      </c>
      <c r="H255" s="6">
        <v>2558.09</v>
      </c>
      <c r="I255" s="6">
        <v>2958.55</v>
      </c>
      <c r="J255" s="8" t="s">
        <v>30</v>
      </c>
      <c r="K255" s="12">
        <v>0.08</v>
      </c>
      <c r="L255" s="8" t="s">
        <v>18</v>
      </c>
      <c r="M255" s="8" t="s">
        <v>19</v>
      </c>
      <c r="N255" s="10" t="s">
        <v>51</v>
      </c>
      <c r="O255" s="17">
        <f xml:space="preserve"> (Tabla1[[#This Row],[Unit_Price]] - Tabla1[[#This Row],[Unit_Cost]] ) * Tabla1[[#This Row],[Quantity_Sold]]</f>
        <v>18020.7</v>
      </c>
      <c r="P255" s="12">
        <f>Tabla1[[#This Row],[Profit]] / Tabla1[[#This Row],[Sales_Calculated]]</f>
        <v>0.13535684710415577</v>
      </c>
      <c r="Q255" s="20">
        <f xml:space="preserve"> Tabla1[[#This Row],[Unit_Price]] * Tabla1[[#This Row],[Quantity_Sold]]</f>
        <v>133134.75</v>
      </c>
    </row>
    <row r="256" spans="1:17" x14ac:dyDescent="0.3">
      <c r="A256" s="2">
        <v>1059</v>
      </c>
      <c r="B256" s="1">
        <v>45136</v>
      </c>
      <c r="C256" s="8" t="s">
        <v>14</v>
      </c>
      <c r="D256" s="8" t="s">
        <v>25</v>
      </c>
      <c r="E256" s="6">
        <v>7678.91</v>
      </c>
      <c r="F256" s="2">
        <v>16</v>
      </c>
      <c r="G256" s="8" t="s">
        <v>16</v>
      </c>
      <c r="H256" s="6">
        <v>4287.21</v>
      </c>
      <c r="I256" s="6">
        <v>4464.28</v>
      </c>
      <c r="J256" s="8" t="s">
        <v>17</v>
      </c>
      <c r="K256" s="12">
        <v>0.2</v>
      </c>
      <c r="L256" s="8" t="s">
        <v>31</v>
      </c>
      <c r="M256" s="8" t="s">
        <v>22</v>
      </c>
      <c r="N256" s="10" t="s">
        <v>32</v>
      </c>
      <c r="O256" s="17">
        <f xml:space="preserve"> (Tabla1[[#This Row],[Unit_Price]] - Tabla1[[#This Row],[Unit_Cost]] ) * Tabla1[[#This Row],[Quantity_Sold]]</f>
        <v>2833.1199999999953</v>
      </c>
      <c r="P256" s="12">
        <f>Tabla1[[#This Row],[Profit]] / Tabla1[[#This Row],[Sales_Calculated]]</f>
        <v>3.9663730769575321E-2</v>
      </c>
      <c r="Q256" s="20">
        <f xml:space="preserve"> Tabla1[[#This Row],[Unit_Price]] * Tabla1[[#This Row],[Quantity_Sold]]</f>
        <v>71428.479999999996</v>
      </c>
    </row>
    <row r="257" spans="1:17" x14ac:dyDescent="0.3">
      <c r="A257" s="2">
        <v>1070</v>
      </c>
      <c r="B257" s="1">
        <v>45273</v>
      </c>
      <c r="C257" s="8" t="s">
        <v>42</v>
      </c>
      <c r="D257" s="8" t="s">
        <v>21</v>
      </c>
      <c r="E257" s="6">
        <v>100.12</v>
      </c>
      <c r="F257" s="2">
        <v>8</v>
      </c>
      <c r="G257" s="8" t="s">
        <v>29</v>
      </c>
      <c r="H257" s="6">
        <v>3762.27</v>
      </c>
      <c r="I257" s="6">
        <v>4166.95</v>
      </c>
      <c r="J257" s="8" t="s">
        <v>17</v>
      </c>
      <c r="K257" s="12">
        <v>0.16</v>
      </c>
      <c r="L257" s="8" t="s">
        <v>27</v>
      </c>
      <c r="M257" s="8" t="s">
        <v>19</v>
      </c>
      <c r="N257" s="10" t="s">
        <v>51</v>
      </c>
      <c r="O257" s="17">
        <f xml:space="preserve"> (Tabla1[[#This Row],[Unit_Price]] - Tabla1[[#This Row],[Unit_Cost]] ) * Tabla1[[#This Row],[Quantity_Sold]]</f>
        <v>3237.4399999999987</v>
      </c>
      <c r="P257" s="12">
        <f>Tabla1[[#This Row],[Profit]] / Tabla1[[#This Row],[Sales_Calculated]]</f>
        <v>9.7116596071467109E-2</v>
      </c>
      <c r="Q257" s="20">
        <f xml:space="preserve"> Tabla1[[#This Row],[Unit_Price]] * Tabla1[[#This Row],[Quantity_Sold]]</f>
        <v>33335.599999999999</v>
      </c>
    </row>
    <row r="258" spans="1:17" x14ac:dyDescent="0.3">
      <c r="A258" s="2">
        <v>1080</v>
      </c>
      <c r="B258" s="1">
        <v>44943</v>
      </c>
      <c r="C258" s="8" t="s">
        <v>14</v>
      </c>
      <c r="D258" s="8" t="s">
        <v>25</v>
      </c>
      <c r="E258" s="6">
        <v>4224</v>
      </c>
      <c r="F258" s="2">
        <v>47</v>
      </c>
      <c r="G258" s="8" t="s">
        <v>16</v>
      </c>
      <c r="H258" s="6">
        <v>4035.33</v>
      </c>
      <c r="I258" s="6">
        <v>4211.25</v>
      </c>
      <c r="J258" s="8" t="s">
        <v>17</v>
      </c>
      <c r="K258" s="12">
        <v>7.0000000000000007E-2</v>
      </c>
      <c r="L258" s="8" t="s">
        <v>27</v>
      </c>
      <c r="M258" s="8" t="s">
        <v>19</v>
      </c>
      <c r="N258" s="10" t="s">
        <v>32</v>
      </c>
      <c r="O258" s="17">
        <f xml:space="preserve"> (Tabla1[[#This Row],[Unit_Price]] - Tabla1[[#This Row],[Unit_Cost]] ) * Tabla1[[#This Row],[Quantity_Sold]]</f>
        <v>8268.2400000000034</v>
      </c>
      <c r="P258" s="12">
        <f>Tabla1[[#This Row],[Profit]] / Tabla1[[#This Row],[Sales_Calculated]]</f>
        <v>4.1773820124666093E-2</v>
      </c>
      <c r="Q258" s="20">
        <f xml:space="preserve"> Tabla1[[#This Row],[Unit_Price]] * Tabla1[[#This Row],[Quantity_Sold]]</f>
        <v>197928.75</v>
      </c>
    </row>
    <row r="259" spans="1:17" x14ac:dyDescent="0.3">
      <c r="A259" s="2">
        <v>1093</v>
      </c>
      <c r="B259" s="1">
        <v>45054</v>
      </c>
      <c r="C259" s="8" t="s">
        <v>14</v>
      </c>
      <c r="D259" s="8" t="s">
        <v>34</v>
      </c>
      <c r="E259" s="6">
        <v>5272.85</v>
      </c>
      <c r="F259" s="2">
        <v>17</v>
      </c>
      <c r="G259" s="8" t="s">
        <v>16</v>
      </c>
      <c r="H259" s="6">
        <v>727.38</v>
      </c>
      <c r="I259" s="6">
        <v>764.54</v>
      </c>
      <c r="J259" s="8" t="s">
        <v>17</v>
      </c>
      <c r="K259" s="12">
        <v>0.17</v>
      </c>
      <c r="L259" s="8" t="s">
        <v>31</v>
      </c>
      <c r="M259" s="8" t="s">
        <v>22</v>
      </c>
      <c r="N259" s="10" t="s">
        <v>46</v>
      </c>
      <c r="O259" s="17">
        <f xml:space="preserve"> (Tabla1[[#This Row],[Unit_Price]] - Tabla1[[#This Row],[Unit_Cost]] ) * Tabla1[[#This Row],[Quantity_Sold]]</f>
        <v>631.71999999999946</v>
      </c>
      <c r="P259" s="12">
        <f>Tabla1[[#This Row],[Profit]] / Tabla1[[#This Row],[Sales_Calculated]]</f>
        <v>4.8604389567583083E-2</v>
      </c>
      <c r="Q259" s="20">
        <f xml:space="preserve"> Tabla1[[#This Row],[Unit_Price]] * Tabla1[[#This Row],[Quantity_Sold]]</f>
        <v>12997.18</v>
      </c>
    </row>
    <row r="260" spans="1:17" x14ac:dyDescent="0.3">
      <c r="A260" s="2">
        <v>1003</v>
      </c>
      <c r="B260" s="1">
        <v>45290</v>
      </c>
      <c r="C260" s="8" t="s">
        <v>42</v>
      </c>
      <c r="D260" s="8" t="s">
        <v>34</v>
      </c>
      <c r="E260" s="6">
        <v>640.88</v>
      </c>
      <c r="F260" s="2">
        <v>17</v>
      </c>
      <c r="G260" s="8" t="s">
        <v>16</v>
      </c>
      <c r="H260" s="6">
        <v>395.11</v>
      </c>
      <c r="I260" s="6">
        <v>676.66</v>
      </c>
      <c r="J260" s="8" t="s">
        <v>17</v>
      </c>
      <c r="K260" s="12">
        <v>0.25</v>
      </c>
      <c r="L260" s="8" t="s">
        <v>18</v>
      </c>
      <c r="M260" s="8" t="s">
        <v>22</v>
      </c>
      <c r="N260" s="10" t="s">
        <v>52</v>
      </c>
      <c r="O260" s="17">
        <f xml:space="preserve"> (Tabla1[[#This Row],[Unit_Price]] - Tabla1[[#This Row],[Unit_Cost]] ) * Tabla1[[#This Row],[Quantity_Sold]]</f>
        <v>4786.3499999999995</v>
      </c>
      <c r="P260" s="12">
        <f>Tabla1[[#This Row],[Profit]] / Tabla1[[#This Row],[Sales_Calculated]]</f>
        <v>0.41608784322998255</v>
      </c>
      <c r="Q260" s="20">
        <f xml:space="preserve"> Tabla1[[#This Row],[Unit_Price]] * Tabla1[[#This Row],[Quantity_Sold]]</f>
        <v>11503.22</v>
      </c>
    </row>
    <row r="261" spans="1:17" x14ac:dyDescent="0.3">
      <c r="A261" s="2">
        <v>1020</v>
      </c>
      <c r="B261" s="1">
        <v>45177</v>
      </c>
      <c r="C261" s="8" t="s">
        <v>38</v>
      </c>
      <c r="D261" s="8" t="s">
        <v>15</v>
      </c>
      <c r="E261" s="6">
        <v>9733.4699999999993</v>
      </c>
      <c r="F261" s="2">
        <v>26</v>
      </c>
      <c r="G261" s="8" t="s">
        <v>29</v>
      </c>
      <c r="H261" s="6">
        <v>4472.3500000000004</v>
      </c>
      <c r="I261" s="6">
        <v>4770.42</v>
      </c>
      <c r="J261" s="8" t="s">
        <v>30</v>
      </c>
      <c r="K261" s="12">
        <v>0.01</v>
      </c>
      <c r="L261" s="8" t="s">
        <v>31</v>
      </c>
      <c r="M261" s="8" t="s">
        <v>22</v>
      </c>
      <c r="N261" s="10" t="s">
        <v>40</v>
      </c>
      <c r="O261" s="17">
        <f xml:space="preserve"> (Tabla1[[#This Row],[Unit_Price]] - Tabla1[[#This Row],[Unit_Cost]] ) * Tabla1[[#This Row],[Quantity_Sold]]</f>
        <v>7749.8199999999924</v>
      </c>
      <c r="P261" s="12">
        <f>Tabla1[[#This Row],[Profit]] / Tabla1[[#This Row],[Sales_Calculated]]</f>
        <v>6.2482967956699768E-2</v>
      </c>
      <c r="Q261" s="20">
        <f xml:space="preserve"> Tabla1[[#This Row],[Unit_Price]] * Tabla1[[#This Row],[Quantity_Sold]]</f>
        <v>124030.92</v>
      </c>
    </row>
    <row r="262" spans="1:17" x14ac:dyDescent="0.3">
      <c r="A262" s="2">
        <v>1059</v>
      </c>
      <c r="B262" s="1">
        <v>45105</v>
      </c>
      <c r="C262" s="8" t="s">
        <v>14</v>
      </c>
      <c r="D262" s="8" t="s">
        <v>15</v>
      </c>
      <c r="E262" s="6">
        <v>2338.64</v>
      </c>
      <c r="F262" s="2">
        <v>13</v>
      </c>
      <c r="G262" s="8" t="s">
        <v>35</v>
      </c>
      <c r="H262" s="6">
        <v>1969.78</v>
      </c>
      <c r="I262" s="6">
        <v>2437.6999999999998</v>
      </c>
      <c r="J262" s="8" t="s">
        <v>30</v>
      </c>
      <c r="K262" s="12">
        <v>0.19</v>
      </c>
      <c r="L262" s="8" t="s">
        <v>31</v>
      </c>
      <c r="M262" s="8" t="s">
        <v>22</v>
      </c>
      <c r="N262" s="10" t="s">
        <v>20</v>
      </c>
      <c r="O262" s="17">
        <f xml:space="preserve"> (Tabla1[[#This Row],[Unit_Price]] - Tabla1[[#This Row],[Unit_Cost]] ) * Tabla1[[#This Row],[Quantity_Sold]]</f>
        <v>6082.9599999999982</v>
      </c>
      <c r="P262" s="12">
        <f>Tabla1[[#This Row],[Profit]] / Tabla1[[#This Row],[Sales_Calculated]]</f>
        <v>0.19195142962628703</v>
      </c>
      <c r="Q262" s="20">
        <f xml:space="preserve"> Tabla1[[#This Row],[Unit_Price]] * Tabla1[[#This Row],[Quantity_Sold]]</f>
        <v>31690.1</v>
      </c>
    </row>
    <row r="263" spans="1:17" x14ac:dyDescent="0.3">
      <c r="A263" s="2">
        <v>1036</v>
      </c>
      <c r="B263" s="1">
        <v>45108</v>
      </c>
      <c r="C263" s="8" t="s">
        <v>42</v>
      </c>
      <c r="D263" s="8" t="s">
        <v>21</v>
      </c>
      <c r="E263" s="6">
        <v>3111.57</v>
      </c>
      <c r="F263" s="2">
        <v>17</v>
      </c>
      <c r="G263" s="8" t="s">
        <v>16</v>
      </c>
      <c r="H263" s="6">
        <v>1475</v>
      </c>
      <c r="I263" s="6">
        <v>1840.77</v>
      </c>
      <c r="J263" s="8" t="s">
        <v>17</v>
      </c>
      <c r="K263" s="12">
        <v>0.1</v>
      </c>
      <c r="L263" s="8" t="s">
        <v>31</v>
      </c>
      <c r="M263" s="8" t="s">
        <v>19</v>
      </c>
      <c r="N263" s="10" t="s">
        <v>51</v>
      </c>
      <c r="O263" s="17">
        <f xml:space="preserve"> (Tabla1[[#This Row],[Unit_Price]] - Tabla1[[#This Row],[Unit_Cost]] ) * Tabla1[[#This Row],[Quantity_Sold]]</f>
        <v>6218.09</v>
      </c>
      <c r="P263" s="12">
        <f>Tabla1[[#This Row],[Profit]] / Tabla1[[#This Row],[Sales_Calculated]]</f>
        <v>0.19870488980155043</v>
      </c>
      <c r="Q263" s="20">
        <f xml:space="preserve"> Tabla1[[#This Row],[Unit_Price]] * Tabla1[[#This Row],[Quantity_Sold]]</f>
        <v>31293.09</v>
      </c>
    </row>
    <row r="264" spans="1:17" x14ac:dyDescent="0.3">
      <c r="A264" s="2">
        <v>1019</v>
      </c>
      <c r="B264" s="1">
        <v>45078</v>
      </c>
      <c r="C264" s="8" t="s">
        <v>14</v>
      </c>
      <c r="D264" s="8" t="s">
        <v>34</v>
      </c>
      <c r="E264" s="6">
        <v>3109.03</v>
      </c>
      <c r="F264" s="2">
        <v>38</v>
      </c>
      <c r="G264" s="8" t="s">
        <v>29</v>
      </c>
      <c r="H264" s="6">
        <v>3637.25</v>
      </c>
      <c r="I264" s="6">
        <v>4096.96</v>
      </c>
      <c r="J264" s="8" t="s">
        <v>17</v>
      </c>
      <c r="K264" s="12">
        <v>0.09</v>
      </c>
      <c r="L264" s="8" t="s">
        <v>27</v>
      </c>
      <c r="M264" s="8" t="s">
        <v>19</v>
      </c>
      <c r="N264" s="10" t="s">
        <v>46</v>
      </c>
      <c r="O264" s="17">
        <f xml:space="preserve"> (Tabla1[[#This Row],[Unit_Price]] - Tabla1[[#This Row],[Unit_Cost]] ) * Tabla1[[#This Row],[Quantity_Sold]]</f>
        <v>17468.980000000003</v>
      </c>
      <c r="P264" s="12">
        <f>Tabla1[[#This Row],[Profit]] / Tabla1[[#This Row],[Sales_Calculated]]</f>
        <v>0.11220758806529721</v>
      </c>
      <c r="Q264" s="20">
        <f xml:space="preserve"> Tabla1[[#This Row],[Unit_Price]] * Tabla1[[#This Row],[Quantity_Sold]]</f>
        <v>155684.48000000001</v>
      </c>
    </row>
    <row r="265" spans="1:17" x14ac:dyDescent="0.3">
      <c r="A265" s="2">
        <v>1090</v>
      </c>
      <c r="B265" s="1">
        <v>44951</v>
      </c>
      <c r="C265" s="8" t="s">
        <v>33</v>
      </c>
      <c r="D265" s="8" t="s">
        <v>25</v>
      </c>
      <c r="E265" s="6">
        <v>2381.12</v>
      </c>
      <c r="F265" s="2">
        <v>17</v>
      </c>
      <c r="G265" s="8" t="s">
        <v>29</v>
      </c>
      <c r="H265" s="6">
        <v>4190.26</v>
      </c>
      <c r="I265" s="6">
        <v>4645.3500000000004</v>
      </c>
      <c r="J265" s="8" t="s">
        <v>30</v>
      </c>
      <c r="K265" s="12">
        <v>0.12</v>
      </c>
      <c r="L265" s="8" t="s">
        <v>31</v>
      </c>
      <c r="M265" s="8" t="s">
        <v>22</v>
      </c>
      <c r="N265" s="10" t="s">
        <v>44</v>
      </c>
      <c r="O265" s="17">
        <f xml:space="preserve"> (Tabla1[[#This Row],[Unit_Price]] - Tabla1[[#This Row],[Unit_Cost]] ) * Tabla1[[#This Row],[Quantity_Sold]]</f>
        <v>7736.5300000000025</v>
      </c>
      <c r="P265" s="12">
        <f>Tabla1[[#This Row],[Profit]] / Tabla1[[#This Row],[Sales_Calculated]]</f>
        <v>9.7966783988289383E-2</v>
      </c>
      <c r="Q265" s="20">
        <f xml:space="preserve"> Tabla1[[#This Row],[Unit_Price]] * Tabla1[[#This Row],[Quantity_Sold]]</f>
        <v>78970.950000000012</v>
      </c>
    </row>
    <row r="266" spans="1:17" x14ac:dyDescent="0.3">
      <c r="A266" s="2">
        <v>1067</v>
      </c>
      <c r="B266" s="1">
        <v>45106</v>
      </c>
      <c r="C266" s="8" t="s">
        <v>38</v>
      </c>
      <c r="D266" s="8" t="s">
        <v>25</v>
      </c>
      <c r="E266" s="6">
        <v>114.59</v>
      </c>
      <c r="F266" s="2">
        <v>48</v>
      </c>
      <c r="G266" s="8" t="s">
        <v>26</v>
      </c>
      <c r="H266" s="6">
        <v>4319.32</v>
      </c>
      <c r="I266" s="6">
        <v>4625.5599999999904</v>
      </c>
      <c r="J266" s="8" t="s">
        <v>17</v>
      </c>
      <c r="K266" s="12">
        <v>0.1</v>
      </c>
      <c r="L266" s="8" t="s">
        <v>27</v>
      </c>
      <c r="M266" s="8" t="s">
        <v>19</v>
      </c>
      <c r="N266" s="10" t="s">
        <v>39</v>
      </c>
      <c r="O266" s="17">
        <f xml:space="preserve"> (Tabla1[[#This Row],[Unit_Price]] - Tabla1[[#This Row],[Unit_Cost]] ) * Tabla1[[#This Row],[Quantity_Sold]]</f>
        <v>14699.519999999553</v>
      </c>
      <c r="P266" s="12">
        <f>Tabla1[[#This Row],[Profit]] / Tabla1[[#This Row],[Sales_Calculated]]</f>
        <v>6.6206037755426661E-2</v>
      </c>
      <c r="Q266" s="20">
        <f xml:space="preserve"> Tabla1[[#This Row],[Unit_Price]] * Tabla1[[#This Row],[Quantity_Sold]]</f>
        <v>222026.87999999954</v>
      </c>
    </row>
    <row r="267" spans="1:17" x14ac:dyDescent="0.3">
      <c r="A267" s="2">
        <v>1019</v>
      </c>
      <c r="B267" s="1">
        <v>45124</v>
      </c>
      <c r="C267" s="8" t="s">
        <v>24</v>
      </c>
      <c r="D267" s="8" t="s">
        <v>25</v>
      </c>
      <c r="E267" s="6">
        <v>7320.51</v>
      </c>
      <c r="F267" s="2">
        <v>14</v>
      </c>
      <c r="G267" s="8" t="s">
        <v>29</v>
      </c>
      <c r="H267" s="6">
        <v>1614.19</v>
      </c>
      <c r="I267" s="6">
        <v>1882.79</v>
      </c>
      <c r="J267" s="8" t="s">
        <v>30</v>
      </c>
      <c r="K267" s="12">
        <v>0.25</v>
      </c>
      <c r="L267" s="8" t="s">
        <v>31</v>
      </c>
      <c r="M267" s="8" t="s">
        <v>22</v>
      </c>
      <c r="N267" s="10" t="s">
        <v>28</v>
      </c>
      <c r="O267" s="17">
        <f xml:space="preserve"> (Tabla1[[#This Row],[Unit_Price]] - Tabla1[[#This Row],[Unit_Cost]] ) * Tabla1[[#This Row],[Quantity_Sold]]</f>
        <v>3760.3999999999987</v>
      </c>
      <c r="P267" s="12">
        <f>Tabla1[[#This Row],[Profit]] / Tabla1[[#This Row],[Sales_Calculated]]</f>
        <v>0.14266062598590387</v>
      </c>
      <c r="Q267" s="20">
        <f xml:space="preserve"> Tabla1[[#This Row],[Unit_Price]] * Tabla1[[#This Row],[Quantity_Sold]]</f>
        <v>26359.059999999998</v>
      </c>
    </row>
    <row r="268" spans="1:17" x14ac:dyDescent="0.3">
      <c r="A268" s="2">
        <v>1020</v>
      </c>
      <c r="B268" s="1">
        <v>45270</v>
      </c>
      <c r="C268" s="8" t="s">
        <v>14</v>
      </c>
      <c r="D268" s="8" t="s">
        <v>15</v>
      </c>
      <c r="E268" s="6">
        <v>9671.77</v>
      </c>
      <c r="F268" s="2">
        <v>45</v>
      </c>
      <c r="G268" s="8" t="s">
        <v>35</v>
      </c>
      <c r="H268" s="6">
        <v>4268.45</v>
      </c>
      <c r="I268" s="6">
        <v>4551.5999999999904</v>
      </c>
      <c r="J268" s="8" t="s">
        <v>30</v>
      </c>
      <c r="K268" s="12">
        <v>0.08</v>
      </c>
      <c r="L268" s="8" t="s">
        <v>27</v>
      </c>
      <c r="M268" s="8" t="s">
        <v>19</v>
      </c>
      <c r="N268" s="10" t="s">
        <v>20</v>
      </c>
      <c r="O268" s="17">
        <f xml:space="preserve"> (Tabla1[[#This Row],[Unit_Price]] - Tabla1[[#This Row],[Unit_Cost]] ) * Tabla1[[#This Row],[Quantity_Sold]]</f>
        <v>12741.749999999574</v>
      </c>
      <c r="P268" s="12">
        <f>Tabla1[[#This Row],[Profit]] / Tabla1[[#This Row],[Sales_Calculated]]</f>
        <v>6.220889357588346E-2</v>
      </c>
      <c r="Q268" s="20">
        <f xml:space="preserve"> Tabla1[[#This Row],[Unit_Price]] * Tabla1[[#This Row],[Quantity_Sold]]</f>
        <v>204821.99999999956</v>
      </c>
    </row>
    <row r="269" spans="1:17" x14ac:dyDescent="0.3">
      <c r="A269" s="2">
        <v>1096</v>
      </c>
      <c r="B269" s="1">
        <v>45087</v>
      </c>
      <c r="C269" s="8" t="s">
        <v>33</v>
      </c>
      <c r="D269" s="8" t="s">
        <v>25</v>
      </c>
      <c r="E269" s="6">
        <v>2320.5100000000002</v>
      </c>
      <c r="F269" s="2">
        <v>6</v>
      </c>
      <c r="G269" s="8" t="s">
        <v>16</v>
      </c>
      <c r="H269" s="6">
        <v>252.62</v>
      </c>
      <c r="I269" s="6">
        <v>742</v>
      </c>
      <c r="J269" s="8" t="s">
        <v>30</v>
      </c>
      <c r="K269" s="12">
        <v>0.22</v>
      </c>
      <c r="L269" s="8" t="s">
        <v>31</v>
      </c>
      <c r="M269" s="8" t="s">
        <v>22</v>
      </c>
      <c r="N269" s="10" t="s">
        <v>44</v>
      </c>
      <c r="O269" s="17">
        <f xml:space="preserve"> (Tabla1[[#This Row],[Unit_Price]] - Tabla1[[#This Row],[Unit_Cost]] ) * Tabla1[[#This Row],[Quantity_Sold]]</f>
        <v>2936.2799999999997</v>
      </c>
      <c r="P269" s="12">
        <f>Tabla1[[#This Row],[Profit]] / Tabla1[[#This Row],[Sales_Calculated]]</f>
        <v>0.65954177897574118</v>
      </c>
      <c r="Q269" s="20">
        <f xml:space="preserve"> Tabla1[[#This Row],[Unit_Price]] * Tabla1[[#This Row],[Quantity_Sold]]</f>
        <v>4452</v>
      </c>
    </row>
    <row r="270" spans="1:17" x14ac:dyDescent="0.3">
      <c r="A270" s="2">
        <v>1071</v>
      </c>
      <c r="B270" s="1">
        <v>45103</v>
      </c>
      <c r="C270" s="8" t="s">
        <v>24</v>
      </c>
      <c r="D270" s="8" t="s">
        <v>15</v>
      </c>
      <c r="E270" s="6">
        <v>6664.17</v>
      </c>
      <c r="F270" s="2">
        <v>35</v>
      </c>
      <c r="G270" s="8" t="s">
        <v>29</v>
      </c>
      <c r="H270" s="6">
        <v>295.82</v>
      </c>
      <c r="I270" s="6">
        <v>684.67</v>
      </c>
      <c r="J270" s="8" t="s">
        <v>30</v>
      </c>
      <c r="K270" s="12">
        <v>0.03</v>
      </c>
      <c r="L270" s="8" t="s">
        <v>31</v>
      </c>
      <c r="M270" s="8" t="s">
        <v>19</v>
      </c>
      <c r="N270" s="10" t="s">
        <v>45</v>
      </c>
      <c r="O270" s="17">
        <f xml:space="preserve"> (Tabla1[[#This Row],[Unit_Price]] - Tabla1[[#This Row],[Unit_Cost]] ) * Tabla1[[#This Row],[Quantity_Sold]]</f>
        <v>13609.749999999998</v>
      </c>
      <c r="P270" s="12">
        <f>Tabla1[[#This Row],[Profit]] / Tabla1[[#This Row],[Sales_Calculated]]</f>
        <v>0.56793783866680303</v>
      </c>
      <c r="Q270" s="20">
        <f xml:space="preserve"> Tabla1[[#This Row],[Unit_Price]] * Tabla1[[#This Row],[Quantity_Sold]]</f>
        <v>23963.449999999997</v>
      </c>
    </row>
    <row r="271" spans="1:17" x14ac:dyDescent="0.3">
      <c r="A271" s="2">
        <v>1052</v>
      </c>
      <c r="B271" s="1">
        <v>45211</v>
      </c>
      <c r="C271" s="8" t="s">
        <v>24</v>
      </c>
      <c r="D271" s="8" t="s">
        <v>15</v>
      </c>
      <c r="E271" s="6">
        <v>7444.77</v>
      </c>
      <c r="F271" s="2">
        <v>46</v>
      </c>
      <c r="G271" s="8" t="s">
        <v>35</v>
      </c>
      <c r="H271" s="6">
        <v>3136.42</v>
      </c>
      <c r="I271" s="6">
        <v>3198.49</v>
      </c>
      <c r="J271" s="8" t="s">
        <v>17</v>
      </c>
      <c r="K271" s="12">
        <v>0.28999999999999998</v>
      </c>
      <c r="L271" s="8" t="s">
        <v>18</v>
      </c>
      <c r="M271" s="8" t="s">
        <v>22</v>
      </c>
      <c r="N271" s="10" t="s">
        <v>45</v>
      </c>
      <c r="O271" s="17">
        <f xml:space="preserve"> (Tabla1[[#This Row],[Unit_Price]] - Tabla1[[#This Row],[Unit_Cost]] ) * Tabla1[[#This Row],[Quantity_Sold]]</f>
        <v>2855.2199999999866</v>
      </c>
      <c r="P271" s="12">
        <f>Tabla1[[#This Row],[Profit]] / Tabla1[[#This Row],[Sales_Calculated]]</f>
        <v>1.9406032221454411E-2</v>
      </c>
      <c r="Q271" s="20">
        <f xml:space="preserve"> Tabla1[[#This Row],[Unit_Price]] * Tabla1[[#This Row],[Quantity_Sold]]</f>
        <v>147130.53999999998</v>
      </c>
    </row>
    <row r="272" spans="1:17" x14ac:dyDescent="0.3">
      <c r="A272" s="2">
        <v>1033</v>
      </c>
      <c r="B272" s="1">
        <v>44989</v>
      </c>
      <c r="C272" s="8" t="s">
        <v>14</v>
      </c>
      <c r="D272" s="8" t="s">
        <v>21</v>
      </c>
      <c r="E272" s="6">
        <v>8499.41</v>
      </c>
      <c r="F272" s="2">
        <v>14</v>
      </c>
      <c r="G272" s="8" t="s">
        <v>29</v>
      </c>
      <c r="H272" s="6">
        <v>362.38</v>
      </c>
      <c r="I272" s="6">
        <v>753.81</v>
      </c>
      <c r="J272" s="8" t="s">
        <v>17</v>
      </c>
      <c r="K272" s="12">
        <v>0.19</v>
      </c>
      <c r="L272" s="8" t="s">
        <v>18</v>
      </c>
      <c r="M272" s="8" t="s">
        <v>22</v>
      </c>
      <c r="N272" s="10" t="s">
        <v>23</v>
      </c>
      <c r="O272" s="17">
        <f xml:space="preserve"> (Tabla1[[#This Row],[Unit_Price]] - Tabla1[[#This Row],[Unit_Cost]] ) * Tabla1[[#This Row],[Quantity_Sold]]</f>
        <v>5480.0199999999995</v>
      </c>
      <c r="P272" s="12">
        <f>Tabla1[[#This Row],[Profit]] / Tabla1[[#This Row],[Sales_Calculated]]</f>
        <v>0.51926878125787657</v>
      </c>
      <c r="Q272" s="20">
        <f xml:space="preserve"> Tabla1[[#This Row],[Unit_Price]] * Tabla1[[#This Row],[Quantity_Sold]]</f>
        <v>10553.34</v>
      </c>
    </row>
    <row r="273" spans="1:17" x14ac:dyDescent="0.3">
      <c r="A273" s="2">
        <v>1040</v>
      </c>
      <c r="B273" s="1">
        <v>45076</v>
      </c>
      <c r="C273" s="8" t="s">
        <v>42</v>
      </c>
      <c r="D273" s="8" t="s">
        <v>25</v>
      </c>
      <c r="E273" s="6">
        <v>4284.03</v>
      </c>
      <c r="F273" s="2">
        <v>47</v>
      </c>
      <c r="G273" s="8" t="s">
        <v>29</v>
      </c>
      <c r="H273" s="6">
        <v>1656.82</v>
      </c>
      <c r="I273" s="6">
        <v>1750.3799999999901</v>
      </c>
      <c r="J273" s="8" t="s">
        <v>30</v>
      </c>
      <c r="K273" s="12">
        <v>0.21</v>
      </c>
      <c r="L273" s="8" t="s">
        <v>31</v>
      </c>
      <c r="M273" s="8" t="s">
        <v>19</v>
      </c>
      <c r="N273" s="10" t="s">
        <v>43</v>
      </c>
      <c r="O273" s="17">
        <f xml:space="preserve"> (Tabla1[[#This Row],[Unit_Price]] - Tabla1[[#This Row],[Unit_Cost]] ) * Tabla1[[#This Row],[Quantity_Sold]]</f>
        <v>4397.3199999995377</v>
      </c>
      <c r="P273" s="12">
        <f>Tabla1[[#This Row],[Profit]] / Tabla1[[#This Row],[Sales_Calculated]]</f>
        <v>5.3451250585581811E-2</v>
      </c>
      <c r="Q273" s="20">
        <f xml:space="preserve"> Tabla1[[#This Row],[Unit_Price]] * Tabla1[[#This Row],[Quantity_Sold]]</f>
        <v>82267.859999999535</v>
      </c>
    </row>
    <row r="274" spans="1:17" x14ac:dyDescent="0.3">
      <c r="A274" s="2">
        <v>1039</v>
      </c>
      <c r="B274" s="1">
        <v>45080</v>
      </c>
      <c r="C274" s="8" t="s">
        <v>14</v>
      </c>
      <c r="D274" s="8" t="s">
        <v>25</v>
      </c>
      <c r="E274" s="6">
        <v>3099.02</v>
      </c>
      <c r="F274" s="2">
        <v>8</v>
      </c>
      <c r="G274" s="8" t="s">
        <v>29</v>
      </c>
      <c r="H274" s="6">
        <v>3380.14</v>
      </c>
      <c r="I274" s="6">
        <v>3609.3399999999901</v>
      </c>
      <c r="J274" s="8" t="s">
        <v>17</v>
      </c>
      <c r="K274" s="12">
        <v>0.09</v>
      </c>
      <c r="L274" s="8" t="s">
        <v>31</v>
      </c>
      <c r="M274" s="8" t="s">
        <v>19</v>
      </c>
      <c r="N274" s="10" t="s">
        <v>32</v>
      </c>
      <c r="O274" s="17">
        <f xml:space="preserve"> (Tabla1[[#This Row],[Unit_Price]] - Tabla1[[#This Row],[Unit_Cost]] ) * Tabla1[[#This Row],[Quantity_Sold]]</f>
        <v>1833.5999999999221</v>
      </c>
      <c r="P274" s="12">
        <f>Tabla1[[#This Row],[Profit]] / Tabla1[[#This Row],[Sales_Calculated]]</f>
        <v>6.3501914477436569E-2</v>
      </c>
      <c r="Q274" s="20">
        <f xml:space="preserve"> Tabla1[[#This Row],[Unit_Price]] * Tabla1[[#This Row],[Quantity_Sold]]</f>
        <v>28874.719999999921</v>
      </c>
    </row>
    <row r="275" spans="1:17" x14ac:dyDescent="0.3">
      <c r="A275" s="2">
        <v>1082</v>
      </c>
      <c r="B275" s="1">
        <v>45082</v>
      </c>
      <c r="C275" s="8" t="s">
        <v>33</v>
      </c>
      <c r="D275" s="8" t="s">
        <v>34</v>
      </c>
      <c r="E275" s="6">
        <v>3320.42</v>
      </c>
      <c r="F275" s="2">
        <v>15</v>
      </c>
      <c r="G275" s="8" t="s">
        <v>29</v>
      </c>
      <c r="H275" s="6">
        <v>1719.47</v>
      </c>
      <c r="I275" s="6">
        <v>1832.6</v>
      </c>
      <c r="J275" s="8" t="s">
        <v>17</v>
      </c>
      <c r="K275" s="12">
        <v>0.12</v>
      </c>
      <c r="L275" s="8" t="s">
        <v>31</v>
      </c>
      <c r="M275" s="8" t="s">
        <v>19</v>
      </c>
      <c r="N275" s="10" t="s">
        <v>36</v>
      </c>
      <c r="O275" s="17">
        <f xml:space="preserve"> (Tabla1[[#This Row],[Unit_Price]] - Tabla1[[#This Row],[Unit_Cost]] ) * Tabla1[[#This Row],[Quantity_Sold]]</f>
        <v>1696.9499999999982</v>
      </c>
      <c r="P275" s="12">
        <f>Tabla1[[#This Row],[Profit]] / Tabla1[[#This Row],[Sales_Calculated]]</f>
        <v>6.1731965513478051E-2</v>
      </c>
      <c r="Q275" s="20">
        <f xml:space="preserve"> Tabla1[[#This Row],[Unit_Price]] * Tabla1[[#This Row],[Quantity_Sold]]</f>
        <v>27489</v>
      </c>
    </row>
    <row r="276" spans="1:17" x14ac:dyDescent="0.3">
      <c r="A276" s="2">
        <v>1001</v>
      </c>
      <c r="B276" s="1">
        <v>44975</v>
      </c>
      <c r="C276" s="8" t="s">
        <v>24</v>
      </c>
      <c r="D276" s="8" t="s">
        <v>21</v>
      </c>
      <c r="E276" s="6">
        <v>7154.95</v>
      </c>
      <c r="F276" s="2">
        <v>27</v>
      </c>
      <c r="G276" s="8" t="s">
        <v>29</v>
      </c>
      <c r="H276" s="6">
        <v>939.02</v>
      </c>
      <c r="I276" s="6">
        <v>1286.92</v>
      </c>
      <c r="J276" s="8" t="s">
        <v>17</v>
      </c>
      <c r="K276" s="12">
        <v>7.0000000000000007E-2</v>
      </c>
      <c r="L276" s="8" t="s">
        <v>31</v>
      </c>
      <c r="M276" s="8" t="s">
        <v>22</v>
      </c>
      <c r="N276" s="10" t="s">
        <v>47</v>
      </c>
      <c r="O276" s="17">
        <f xml:space="preserve"> (Tabla1[[#This Row],[Unit_Price]] - Tabla1[[#This Row],[Unit_Cost]] ) * Tabla1[[#This Row],[Quantity_Sold]]</f>
        <v>9393.3000000000029</v>
      </c>
      <c r="P276" s="12">
        <f>Tabla1[[#This Row],[Profit]] / Tabla1[[#This Row],[Sales_Calculated]]</f>
        <v>0.27033537438224603</v>
      </c>
      <c r="Q276" s="20">
        <f xml:space="preserve"> Tabla1[[#This Row],[Unit_Price]] * Tabla1[[#This Row],[Quantity_Sold]]</f>
        <v>34746.840000000004</v>
      </c>
    </row>
    <row r="277" spans="1:17" x14ac:dyDescent="0.3">
      <c r="A277" s="2">
        <v>1011</v>
      </c>
      <c r="B277" s="1">
        <v>45263</v>
      </c>
      <c r="C277" s="8" t="s">
        <v>14</v>
      </c>
      <c r="D277" s="8" t="s">
        <v>34</v>
      </c>
      <c r="E277" s="6">
        <v>8186.12</v>
      </c>
      <c r="F277" s="2">
        <v>13</v>
      </c>
      <c r="G277" s="8" t="s">
        <v>35</v>
      </c>
      <c r="H277" s="6">
        <v>1442.69</v>
      </c>
      <c r="I277" s="6">
        <v>1882.57</v>
      </c>
      <c r="J277" s="8" t="s">
        <v>17</v>
      </c>
      <c r="K277" s="12">
        <v>0.28000000000000003</v>
      </c>
      <c r="L277" s="8" t="s">
        <v>18</v>
      </c>
      <c r="M277" s="8" t="s">
        <v>19</v>
      </c>
      <c r="N277" s="10" t="s">
        <v>46</v>
      </c>
      <c r="O277" s="17">
        <f xml:space="preserve"> (Tabla1[[#This Row],[Unit_Price]] - Tabla1[[#This Row],[Unit_Cost]] ) * Tabla1[[#This Row],[Quantity_Sold]]</f>
        <v>5718.4399999999987</v>
      </c>
      <c r="P277" s="12">
        <f>Tabla1[[#This Row],[Profit]] / Tabla1[[#This Row],[Sales_Calculated]]</f>
        <v>0.23365930616125824</v>
      </c>
      <c r="Q277" s="20">
        <f xml:space="preserve"> Tabla1[[#This Row],[Unit_Price]] * Tabla1[[#This Row],[Quantity_Sold]]</f>
        <v>24473.41</v>
      </c>
    </row>
    <row r="278" spans="1:17" x14ac:dyDescent="0.3">
      <c r="A278" s="2">
        <v>1092</v>
      </c>
      <c r="B278" s="1">
        <v>45010</v>
      </c>
      <c r="C278" s="8" t="s">
        <v>42</v>
      </c>
      <c r="D278" s="8" t="s">
        <v>21</v>
      </c>
      <c r="E278" s="6">
        <v>1897.98</v>
      </c>
      <c r="F278" s="2">
        <v>49</v>
      </c>
      <c r="G278" s="8" t="s">
        <v>16</v>
      </c>
      <c r="H278" s="6">
        <v>2315</v>
      </c>
      <c r="I278" s="6">
        <v>2467.2800000000002</v>
      </c>
      <c r="J278" s="8" t="s">
        <v>30</v>
      </c>
      <c r="K278" s="12">
        <v>0.15</v>
      </c>
      <c r="L278" s="8" t="s">
        <v>27</v>
      </c>
      <c r="M278" s="8" t="s">
        <v>22</v>
      </c>
      <c r="N278" s="10" t="s">
        <v>51</v>
      </c>
      <c r="O278" s="17">
        <f xml:space="preserve"> (Tabla1[[#This Row],[Unit_Price]] - Tabla1[[#This Row],[Unit_Cost]] ) * Tabla1[[#This Row],[Quantity_Sold]]</f>
        <v>7461.7200000000103</v>
      </c>
      <c r="P278" s="12">
        <f>Tabla1[[#This Row],[Profit]] / Tabla1[[#This Row],[Sales_Calculated]]</f>
        <v>6.1719788593106659E-2</v>
      </c>
      <c r="Q278" s="20">
        <f xml:space="preserve"> Tabla1[[#This Row],[Unit_Price]] * Tabla1[[#This Row],[Quantity_Sold]]</f>
        <v>120896.72000000002</v>
      </c>
    </row>
    <row r="279" spans="1:17" x14ac:dyDescent="0.3">
      <c r="A279" s="2">
        <v>1057</v>
      </c>
      <c r="B279" s="1">
        <v>45287</v>
      </c>
      <c r="C279" s="8" t="s">
        <v>14</v>
      </c>
      <c r="D279" s="8" t="s">
        <v>25</v>
      </c>
      <c r="E279" s="6">
        <v>3772.32</v>
      </c>
      <c r="F279" s="2">
        <v>31</v>
      </c>
      <c r="G279" s="8" t="s">
        <v>16</v>
      </c>
      <c r="H279" s="6">
        <v>2403.16</v>
      </c>
      <c r="I279" s="6">
        <v>2453.35</v>
      </c>
      <c r="J279" s="8" t="s">
        <v>17</v>
      </c>
      <c r="K279" s="12">
        <v>0.19</v>
      </c>
      <c r="L279" s="8" t="s">
        <v>31</v>
      </c>
      <c r="M279" s="8" t="s">
        <v>19</v>
      </c>
      <c r="N279" s="10" t="s">
        <v>32</v>
      </c>
      <c r="O279" s="17">
        <f xml:space="preserve"> (Tabla1[[#This Row],[Unit_Price]] - Tabla1[[#This Row],[Unit_Cost]] ) * Tabla1[[#This Row],[Quantity_Sold]]</f>
        <v>1555.8900000000017</v>
      </c>
      <c r="P279" s="12">
        <f>Tabla1[[#This Row],[Profit]] / Tabla1[[#This Row],[Sales_Calculated]]</f>
        <v>2.0457741455560789E-2</v>
      </c>
      <c r="Q279" s="20">
        <f xml:space="preserve"> Tabla1[[#This Row],[Unit_Price]] * Tabla1[[#This Row],[Quantity_Sold]]</f>
        <v>76053.849999999991</v>
      </c>
    </row>
    <row r="280" spans="1:17" x14ac:dyDescent="0.3">
      <c r="A280" s="2">
        <v>1089</v>
      </c>
      <c r="B280" s="1">
        <v>45103</v>
      </c>
      <c r="C280" s="8" t="s">
        <v>38</v>
      </c>
      <c r="D280" s="8" t="s">
        <v>15</v>
      </c>
      <c r="E280" s="6">
        <v>9029.2099999999991</v>
      </c>
      <c r="F280" s="2">
        <v>35</v>
      </c>
      <c r="G280" s="8" t="s">
        <v>16</v>
      </c>
      <c r="H280" s="6">
        <v>3925.85</v>
      </c>
      <c r="I280" s="6">
        <v>4082.1099999999901</v>
      </c>
      <c r="J280" s="8" t="s">
        <v>30</v>
      </c>
      <c r="K280" s="12">
        <v>0.22</v>
      </c>
      <c r="L280" s="8" t="s">
        <v>18</v>
      </c>
      <c r="M280" s="8" t="s">
        <v>19</v>
      </c>
      <c r="N280" s="10" t="s">
        <v>40</v>
      </c>
      <c r="O280" s="17">
        <f xml:space="preserve"> (Tabla1[[#This Row],[Unit_Price]] - Tabla1[[#This Row],[Unit_Cost]] ) * Tabla1[[#This Row],[Quantity_Sold]]</f>
        <v>5469.0999999996575</v>
      </c>
      <c r="P280" s="12">
        <f>Tabla1[[#This Row],[Profit]] / Tabla1[[#This Row],[Sales_Calculated]]</f>
        <v>3.8279223244839213E-2</v>
      </c>
      <c r="Q280" s="20">
        <f xml:space="preserve"> Tabla1[[#This Row],[Unit_Price]] * Tabla1[[#This Row],[Quantity_Sold]]</f>
        <v>142873.84999999966</v>
      </c>
    </row>
    <row r="281" spans="1:17" x14ac:dyDescent="0.3">
      <c r="A281" s="2">
        <v>1050</v>
      </c>
      <c r="B281" s="1">
        <v>45074</v>
      </c>
      <c r="C281" s="8" t="s">
        <v>42</v>
      </c>
      <c r="D281" s="8" t="s">
        <v>15</v>
      </c>
      <c r="E281" s="6">
        <v>8086.27</v>
      </c>
      <c r="F281" s="2">
        <v>6</v>
      </c>
      <c r="G281" s="8" t="s">
        <v>16</v>
      </c>
      <c r="H281" s="6">
        <v>3763.26</v>
      </c>
      <c r="I281" s="6">
        <v>4102.72</v>
      </c>
      <c r="J281" s="8" t="s">
        <v>30</v>
      </c>
      <c r="K281" s="12">
        <v>0.11</v>
      </c>
      <c r="L281" s="8" t="s">
        <v>31</v>
      </c>
      <c r="M281" s="8" t="s">
        <v>22</v>
      </c>
      <c r="N281" s="10" t="s">
        <v>49</v>
      </c>
      <c r="O281" s="17">
        <f xml:space="preserve"> (Tabla1[[#This Row],[Unit_Price]] - Tabla1[[#This Row],[Unit_Cost]] ) * Tabla1[[#This Row],[Quantity_Sold]]</f>
        <v>2036.7600000000002</v>
      </c>
      <c r="P281" s="12">
        <f>Tabla1[[#This Row],[Profit]] / Tabla1[[#This Row],[Sales_Calculated]]</f>
        <v>8.2740230871226908E-2</v>
      </c>
      <c r="Q281" s="20">
        <f xml:space="preserve"> Tabla1[[#This Row],[Unit_Price]] * Tabla1[[#This Row],[Quantity_Sold]]</f>
        <v>24616.32</v>
      </c>
    </row>
    <row r="282" spans="1:17" x14ac:dyDescent="0.3">
      <c r="A282" s="2">
        <v>1023</v>
      </c>
      <c r="B282" s="1">
        <v>45044</v>
      </c>
      <c r="C282" s="8" t="s">
        <v>33</v>
      </c>
      <c r="D282" s="8" t="s">
        <v>15</v>
      </c>
      <c r="E282" s="6">
        <v>9850.1</v>
      </c>
      <c r="F282" s="2">
        <v>5</v>
      </c>
      <c r="G282" s="8" t="s">
        <v>35</v>
      </c>
      <c r="H282" s="6">
        <v>2311.25</v>
      </c>
      <c r="I282" s="6">
        <v>2482.34</v>
      </c>
      <c r="J282" s="8" t="s">
        <v>17</v>
      </c>
      <c r="K282" s="12">
        <v>0.22</v>
      </c>
      <c r="L282" s="8" t="s">
        <v>31</v>
      </c>
      <c r="M282" s="8" t="s">
        <v>22</v>
      </c>
      <c r="N282" s="10" t="s">
        <v>53</v>
      </c>
      <c r="O282" s="17">
        <f xml:space="preserve"> (Tabla1[[#This Row],[Unit_Price]] - Tabla1[[#This Row],[Unit_Cost]] ) * Tabla1[[#This Row],[Quantity_Sold]]</f>
        <v>855.45000000000073</v>
      </c>
      <c r="P282" s="12">
        <f>Tabla1[[#This Row],[Profit]] / Tabla1[[#This Row],[Sales_Calculated]]</f>
        <v>6.8922871161887625E-2</v>
      </c>
      <c r="Q282" s="20">
        <f xml:space="preserve"> Tabla1[[#This Row],[Unit_Price]] * Tabla1[[#This Row],[Quantity_Sold]]</f>
        <v>12411.7</v>
      </c>
    </row>
    <row r="283" spans="1:17" x14ac:dyDescent="0.3">
      <c r="A283" s="2">
        <v>1031</v>
      </c>
      <c r="B283" s="1">
        <v>45268</v>
      </c>
      <c r="C283" s="8" t="s">
        <v>24</v>
      </c>
      <c r="D283" s="8" t="s">
        <v>15</v>
      </c>
      <c r="E283" s="6">
        <v>7567.06</v>
      </c>
      <c r="F283" s="2">
        <v>22</v>
      </c>
      <c r="G283" s="8" t="s">
        <v>26</v>
      </c>
      <c r="H283" s="6">
        <v>4236.05</v>
      </c>
      <c r="I283" s="6">
        <v>4382.32</v>
      </c>
      <c r="J283" s="8" t="s">
        <v>30</v>
      </c>
      <c r="K283" s="12">
        <v>0.2</v>
      </c>
      <c r="L283" s="8" t="s">
        <v>27</v>
      </c>
      <c r="M283" s="8" t="s">
        <v>19</v>
      </c>
      <c r="N283" s="10" t="s">
        <v>45</v>
      </c>
      <c r="O283" s="17">
        <f xml:space="preserve"> (Tabla1[[#This Row],[Unit_Price]] - Tabla1[[#This Row],[Unit_Cost]] ) * Tabla1[[#This Row],[Quantity_Sold]]</f>
        <v>3217.9399999999896</v>
      </c>
      <c r="P283" s="12">
        <f>Tabla1[[#This Row],[Profit]] / Tabla1[[#This Row],[Sales_Calculated]]</f>
        <v>3.3377297869621465E-2</v>
      </c>
      <c r="Q283" s="20">
        <f xml:space="preserve"> Tabla1[[#This Row],[Unit_Price]] * Tabla1[[#This Row],[Quantity_Sold]]</f>
        <v>96411.04</v>
      </c>
    </row>
    <row r="284" spans="1:17" x14ac:dyDescent="0.3">
      <c r="A284" s="2">
        <v>1094</v>
      </c>
      <c r="B284" s="1">
        <v>44989</v>
      </c>
      <c r="C284" s="8" t="s">
        <v>14</v>
      </c>
      <c r="D284" s="8" t="s">
        <v>15</v>
      </c>
      <c r="E284" s="6">
        <v>3992.63</v>
      </c>
      <c r="F284" s="2">
        <v>49</v>
      </c>
      <c r="G284" s="8" t="s">
        <v>26</v>
      </c>
      <c r="H284" s="6">
        <v>615.47</v>
      </c>
      <c r="I284" s="6">
        <v>715.84</v>
      </c>
      <c r="J284" s="8" t="s">
        <v>17</v>
      </c>
      <c r="K284" s="12">
        <v>0.21</v>
      </c>
      <c r="L284" s="8" t="s">
        <v>31</v>
      </c>
      <c r="M284" s="8" t="s">
        <v>22</v>
      </c>
      <c r="N284" s="10" t="s">
        <v>20</v>
      </c>
      <c r="O284" s="17">
        <f xml:space="preserve"> (Tabla1[[#This Row],[Unit_Price]] - Tabla1[[#This Row],[Unit_Cost]] ) * Tabla1[[#This Row],[Quantity_Sold]]</f>
        <v>4918.13</v>
      </c>
      <c r="P284" s="12">
        <f>Tabla1[[#This Row],[Profit]] / Tabla1[[#This Row],[Sales_Calculated]]</f>
        <v>0.14021289673670093</v>
      </c>
      <c r="Q284" s="20">
        <f xml:space="preserve"> Tabla1[[#This Row],[Unit_Price]] * Tabla1[[#This Row],[Quantity_Sold]]</f>
        <v>35076.160000000003</v>
      </c>
    </row>
    <row r="285" spans="1:17" x14ac:dyDescent="0.3">
      <c r="A285" s="2">
        <v>1042</v>
      </c>
      <c r="B285" s="1">
        <v>45115</v>
      </c>
      <c r="C285" s="8" t="s">
        <v>42</v>
      </c>
      <c r="D285" s="8" t="s">
        <v>34</v>
      </c>
      <c r="E285" s="6">
        <v>5947.31</v>
      </c>
      <c r="F285" s="2">
        <v>23</v>
      </c>
      <c r="G285" s="8" t="s">
        <v>35</v>
      </c>
      <c r="H285" s="6">
        <v>1314</v>
      </c>
      <c r="I285" s="6">
        <v>1567.78</v>
      </c>
      <c r="J285" s="8" t="s">
        <v>17</v>
      </c>
      <c r="K285" s="12">
        <v>0.15</v>
      </c>
      <c r="L285" s="8" t="s">
        <v>31</v>
      </c>
      <c r="M285" s="8" t="s">
        <v>22</v>
      </c>
      <c r="N285" s="10" t="s">
        <v>52</v>
      </c>
      <c r="O285" s="17">
        <f xml:space="preserve"> (Tabla1[[#This Row],[Unit_Price]] - Tabla1[[#This Row],[Unit_Cost]] ) * Tabla1[[#This Row],[Quantity_Sold]]</f>
        <v>5836.94</v>
      </c>
      <c r="P285" s="12">
        <f>Tabla1[[#This Row],[Profit]] / Tabla1[[#This Row],[Sales_Calculated]]</f>
        <v>0.16187220145683703</v>
      </c>
      <c r="Q285" s="20">
        <f xml:space="preserve"> Tabla1[[#This Row],[Unit_Price]] * Tabla1[[#This Row],[Quantity_Sold]]</f>
        <v>36058.94</v>
      </c>
    </row>
    <row r="286" spans="1:17" x14ac:dyDescent="0.3">
      <c r="A286" s="2">
        <v>1099</v>
      </c>
      <c r="B286" s="1">
        <v>45286</v>
      </c>
      <c r="C286" s="8" t="s">
        <v>38</v>
      </c>
      <c r="D286" s="8" t="s">
        <v>21</v>
      </c>
      <c r="E286" s="6">
        <v>6644.04</v>
      </c>
      <c r="F286" s="2">
        <v>25</v>
      </c>
      <c r="G286" s="8" t="s">
        <v>35</v>
      </c>
      <c r="H286" s="6">
        <v>4148.4799999999996</v>
      </c>
      <c r="I286" s="6">
        <v>4293.6899999999996</v>
      </c>
      <c r="J286" s="8" t="s">
        <v>30</v>
      </c>
      <c r="K286" s="12">
        <v>0.11</v>
      </c>
      <c r="L286" s="8" t="s">
        <v>27</v>
      </c>
      <c r="M286" s="8" t="s">
        <v>19</v>
      </c>
      <c r="N286" s="10" t="s">
        <v>41</v>
      </c>
      <c r="O286" s="17">
        <f xml:space="preserve"> (Tabla1[[#This Row],[Unit_Price]] - Tabla1[[#This Row],[Unit_Cost]] ) * Tabla1[[#This Row],[Quantity_Sold]]</f>
        <v>3630.2500000000009</v>
      </c>
      <c r="P286" s="12">
        <f>Tabla1[[#This Row],[Profit]] / Tabla1[[#This Row],[Sales_Calculated]]</f>
        <v>3.3819395438422439E-2</v>
      </c>
      <c r="Q286" s="20">
        <f xml:space="preserve"> Tabla1[[#This Row],[Unit_Price]] * Tabla1[[#This Row],[Quantity_Sold]]</f>
        <v>107342.24999999999</v>
      </c>
    </row>
    <row r="287" spans="1:17" x14ac:dyDescent="0.3">
      <c r="A287" s="2">
        <v>1007</v>
      </c>
      <c r="B287" s="1">
        <v>44975</v>
      </c>
      <c r="C287" s="8" t="s">
        <v>42</v>
      </c>
      <c r="D287" s="8" t="s">
        <v>25</v>
      </c>
      <c r="E287" s="6">
        <v>876.71</v>
      </c>
      <c r="F287" s="2">
        <v>34</v>
      </c>
      <c r="G287" s="8" t="s">
        <v>29</v>
      </c>
      <c r="H287" s="6">
        <v>1921.07</v>
      </c>
      <c r="I287" s="6">
        <v>2289.27</v>
      </c>
      <c r="J287" s="8" t="s">
        <v>17</v>
      </c>
      <c r="K287" s="12">
        <v>7.0000000000000007E-2</v>
      </c>
      <c r="L287" s="8" t="s">
        <v>27</v>
      </c>
      <c r="M287" s="8" t="s">
        <v>22</v>
      </c>
      <c r="N287" s="10" t="s">
        <v>43</v>
      </c>
      <c r="O287" s="17">
        <f xml:space="preserve"> (Tabla1[[#This Row],[Unit_Price]] - Tabla1[[#This Row],[Unit_Cost]] ) * Tabla1[[#This Row],[Quantity_Sold]]</f>
        <v>12518.800000000001</v>
      </c>
      <c r="P287" s="12">
        <f>Tabla1[[#This Row],[Profit]] / Tabla1[[#This Row],[Sales_Calculated]]</f>
        <v>0.16083729747910908</v>
      </c>
      <c r="Q287" s="20">
        <f xml:space="preserve"> Tabla1[[#This Row],[Unit_Price]] * Tabla1[[#This Row],[Quantity_Sold]]</f>
        <v>77835.179999999993</v>
      </c>
    </row>
    <row r="288" spans="1:17" x14ac:dyDescent="0.3">
      <c r="A288" s="2">
        <v>1016</v>
      </c>
      <c r="B288" s="1">
        <v>45253</v>
      </c>
      <c r="C288" s="8" t="s">
        <v>38</v>
      </c>
      <c r="D288" s="8" t="s">
        <v>34</v>
      </c>
      <c r="E288" s="6">
        <v>5490.52</v>
      </c>
      <c r="F288" s="2">
        <v>26</v>
      </c>
      <c r="G288" s="8" t="s">
        <v>29</v>
      </c>
      <c r="H288" s="6">
        <v>4906.8500000000004</v>
      </c>
      <c r="I288" s="6">
        <v>4954.3900000000003</v>
      </c>
      <c r="J288" s="8" t="s">
        <v>30</v>
      </c>
      <c r="K288" s="12">
        <v>0.25</v>
      </c>
      <c r="L288" s="8" t="s">
        <v>27</v>
      </c>
      <c r="M288" s="8" t="s">
        <v>19</v>
      </c>
      <c r="N288" s="10" t="s">
        <v>48</v>
      </c>
      <c r="O288" s="17">
        <f xml:space="preserve"> (Tabla1[[#This Row],[Unit_Price]] - Tabla1[[#This Row],[Unit_Cost]] ) * Tabla1[[#This Row],[Quantity_Sold]]</f>
        <v>1236.0399999999991</v>
      </c>
      <c r="P288" s="12">
        <f>Tabla1[[#This Row],[Profit]] / Tabla1[[#This Row],[Sales_Calculated]]</f>
        <v>9.5955304285694019E-3</v>
      </c>
      <c r="Q288" s="20">
        <f xml:space="preserve"> Tabla1[[#This Row],[Unit_Price]] * Tabla1[[#This Row],[Quantity_Sold]]</f>
        <v>128814.14000000001</v>
      </c>
    </row>
    <row r="289" spans="1:17" x14ac:dyDescent="0.3">
      <c r="A289" s="2">
        <v>1090</v>
      </c>
      <c r="B289" s="1">
        <v>45183</v>
      </c>
      <c r="C289" s="8" t="s">
        <v>33</v>
      </c>
      <c r="D289" s="8" t="s">
        <v>21</v>
      </c>
      <c r="E289" s="6">
        <v>7122.28</v>
      </c>
      <c r="F289" s="2">
        <v>47</v>
      </c>
      <c r="G289" s="8" t="s">
        <v>29</v>
      </c>
      <c r="H289" s="6">
        <v>2357.9499999999998</v>
      </c>
      <c r="I289" s="6">
        <v>2693.33</v>
      </c>
      <c r="J289" s="8" t="s">
        <v>30</v>
      </c>
      <c r="K289" s="12">
        <v>0.18</v>
      </c>
      <c r="L289" s="8" t="s">
        <v>27</v>
      </c>
      <c r="M289" s="8" t="s">
        <v>19</v>
      </c>
      <c r="N289" s="10" t="s">
        <v>37</v>
      </c>
      <c r="O289" s="17">
        <f xml:space="preserve"> (Tabla1[[#This Row],[Unit_Price]] - Tabla1[[#This Row],[Unit_Cost]] ) * Tabla1[[#This Row],[Quantity_Sold]]</f>
        <v>15762.860000000004</v>
      </c>
      <c r="P289" s="12">
        <f>Tabla1[[#This Row],[Profit]] / Tabla1[[#This Row],[Sales_Calculated]]</f>
        <v>0.12452243133964279</v>
      </c>
      <c r="Q289" s="20">
        <f xml:space="preserve"> Tabla1[[#This Row],[Unit_Price]] * Tabla1[[#This Row],[Quantity_Sold]]</f>
        <v>126586.51</v>
      </c>
    </row>
    <row r="290" spans="1:17" x14ac:dyDescent="0.3">
      <c r="A290" s="2">
        <v>1060</v>
      </c>
      <c r="B290" s="1">
        <v>45150</v>
      </c>
      <c r="C290" s="8" t="s">
        <v>24</v>
      </c>
      <c r="D290" s="8" t="s">
        <v>15</v>
      </c>
      <c r="E290" s="6">
        <v>1756.48</v>
      </c>
      <c r="F290" s="2">
        <v>5</v>
      </c>
      <c r="G290" s="8" t="s">
        <v>16</v>
      </c>
      <c r="H290" s="6">
        <v>3970.08</v>
      </c>
      <c r="I290" s="6">
        <v>4096.4799999999996</v>
      </c>
      <c r="J290" s="8" t="s">
        <v>17</v>
      </c>
      <c r="K290" s="12">
        <v>0.13</v>
      </c>
      <c r="L290" s="8" t="s">
        <v>18</v>
      </c>
      <c r="M290" s="8" t="s">
        <v>22</v>
      </c>
      <c r="N290" s="10" t="s">
        <v>45</v>
      </c>
      <c r="O290" s="17">
        <f xml:space="preserve"> (Tabla1[[#This Row],[Unit_Price]] - Tabla1[[#This Row],[Unit_Cost]] ) * Tabla1[[#This Row],[Quantity_Sold]]</f>
        <v>631.99999999999818</v>
      </c>
      <c r="P290" s="12">
        <f>Tabla1[[#This Row],[Profit]] / Tabla1[[#This Row],[Sales_Calculated]]</f>
        <v>3.0855759090731471E-2</v>
      </c>
      <c r="Q290" s="20">
        <f xml:space="preserve"> Tabla1[[#This Row],[Unit_Price]] * Tabla1[[#This Row],[Quantity_Sold]]</f>
        <v>20482.399999999998</v>
      </c>
    </row>
    <row r="291" spans="1:17" x14ac:dyDescent="0.3">
      <c r="A291" s="2">
        <v>1002</v>
      </c>
      <c r="B291" s="1">
        <v>45067</v>
      </c>
      <c r="C291" s="8" t="s">
        <v>33</v>
      </c>
      <c r="D291" s="8" t="s">
        <v>21</v>
      </c>
      <c r="E291" s="6">
        <v>7828.25</v>
      </c>
      <c r="F291" s="2">
        <v>26</v>
      </c>
      <c r="G291" s="8" t="s">
        <v>29</v>
      </c>
      <c r="H291" s="6">
        <v>2041.42</v>
      </c>
      <c r="I291" s="6">
        <v>2291.17</v>
      </c>
      <c r="J291" s="8" t="s">
        <v>17</v>
      </c>
      <c r="K291" s="12">
        <v>0.28000000000000003</v>
      </c>
      <c r="L291" s="8" t="s">
        <v>18</v>
      </c>
      <c r="M291" s="8" t="s">
        <v>19</v>
      </c>
      <c r="N291" s="10" t="s">
        <v>37</v>
      </c>
      <c r="O291" s="17">
        <f xml:space="preserve"> (Tabla1[[#This Row],[Unit_Price]] - Tabla1[[#This Row],[Unit_Cost]] ) * Tabla1[[#This Row],[Quantity_Sold]]</f>
        <v>6493.5</v>
      </c>
      <c r="P291" s="12">
        <f>Tabla1[[#This Row],[Profit]] / Tabla1[[#This Row],[Sales_Calculated]]</f>
        <v>0.1090054426341127</v>
      </c>
      <c r="Q291" s="20">
        <f xml:space="preserve"> Tabla1[[#This Row],[Unit_Price]] * Tabla1[[#This Row],[Quantity_Sold]]</f>
        <v>59570.42</v>
      </c>
    </row>
    <row r="292" spans="1:17" x14ac:dyDescent="0.3">
      <c r="A292" s="2">
        <v>1001</v>
      </c>
      <c r="B292" s="1">
        <v>45141</v>
      </c>
      <c r="C292" s="8" t="s">
        <v>14</v>
      </c>
      <c r="D292" s="8" t="s">
        <v>21</v>
      </c>
      <c r="E292" s="6">
        <v>5879.35</v>
      </c>
      <c r="F292" s="2">
        <v>20</v>
      </c>
      <c r="G292" s="8" t="s">
        <v>26</v>
      </c>
      <c r="H292" s="6">
        <v>2153.52</v>
      </c>
      <c r="I292" s="6">
        <v>2303.6999999999998</v>
      </c>
      <c r="J292" s="8" t="s">
        <v>17</v>
      </c>
      <c r="K292" s="12">
        <v>0.01</v>
      </c>
      <c r="L292" s="8" t="s">
        <v>18</v>
      </c>
      <c r="M292" s="8" t="s">
        <v>22</v>
      </c>
      <c r="N292" s="10" t="s">
        <v>23</v>
      </c>
      <c r="O292" s="17">
        <f xml:space="preserve"> (Tabla1[[#This Row],[Unit_Price]] - Tabla1[[#This Row],[Unit_Cost]] ) * Tabla1[[#This Row],[Quantity_Sold]]</f>
        <v>3003.5999999999967</v>
      </c>
      <c r="P292" s="12">
        <f>Tabla1[[#This Row],[Profit]] / Tabla1[[#This Row],[Sales_Calculated]]</f>
        <v>6.5190780049485544E-2</v>
      </c>
      <c r="Q292" s="20">
        <f xml:space="preserve"> Tabla1[[#This Row],[Unit_Price]] * Tabla1[[#This Row],[Quantity_Sold]]</f>
        <v>46074</v>
      </c>
    </row>
    <row r="293" spans="1:17" x14ac:dyDescent="0.3">
      <c r="A293" s="2">
        <v>1048</v>
      </c>
      <c r="B293" s="1">
        <v>45137</v>
      </c>
      <c r="C293" s="8" t="s">
        <v>42</v>
      </c>
      <c r="D293" s="8" t="s">
        <v>15</v>
      </c>
      <c r="E293" s="6">
        <v>9527</v>
      </c>
      <c r="F293" s="2">
        <v>6</v>
      </c>
      <c r="G293" s="8" t="s">
        <v>16</v>
      </c>
      <c r="H293" s="6">
        <v>1945.27</v>
      </c>
      <c r="I293" s="6">
        <v>2309.4299999999998</v>
      </c>
      <c r="J293" s="8" t="s">
        <v>30</v>
      </c>
      <c r="K293" s="12">
        <v>0.26</v>
      </c>
      <c r="L293" s="8" t="s">
        <v>31</v>
      </c>
      <c r="M293" s="8" t="s">
        <v>19</v>
      </c>
      <c r="N293" s="10" t="s">
        <v>49</v>
      </c>
      <c r="O293" s="17">
        <f xml:space="preserve"> (Tabla1[[#This Row],[Unit_Price]] - Tabla1[[#This Row],[Unit_Cost]] ) * Tabla1[[#This Row],[Quantity_Sold]]</f>
        <v>2184.9599999999991</v>
      </c>
      <c r="P293" s="12">
        <f>Tabla1[[#This Row],[Profit]] / Tabla1[[#This Row],[Sales_Calculated]]</f>
        <v>0.15768393066687447</v>
      </c>
      <c r="Q293" s="20">
        <f xml:space="preserve"> Tabla1[[#This Row],[Unit_Price]] * Tabla1[[#This Row],[Quantity_Sold]]</f>
        <v>13856.579999999998</v>
      </c>
    </row>
    <row r="294" spans="1:17" x14ac:dyDescent="0.3">
      <c r="A294" s="2">
        <v>1012</v>
      </c>
      <c r="B294" s="1">
        <v>45244</v>
      </c>
      <c r="C294" s="8" t="s">
        <v>38</v>
      </c>
      <c r="D294" s="8" t="s">
        <v>15</v>
      </c>
      <c r="E294" s="6">
        <v>519.98</v>
      </c>
      <c r="F294" s="2">
        <v>6</v>
      </c>
      <c r="G294" s="8" t="s">
        <v>29</v>
      </c>
      <c r="H294" s="6">
        <v>3609.42</v>
      </c>
      <c r="I294" s="6">
        <v>4082.62</v>
      </c>
      <c r="J294" s="8" t="s">
        <v>17</v>
      </c>
      <c r="K294" s="12">
        <v>0.3</v>
      </c>
      <c r="L294" s="8" t="s">
        <v>27</v>
      </c>
      <c r="M294" s="8" t="s">
        <v>22</v>
      </c>
      <c r="N294" s="10" t="s">
        <v>40</v>
      </c>
      <c r="O294" s="17">
        <f xml:space="preserve"> (Tabla1[[#This Row],[Unit_Price]] - Tabla1[[#This Row],[Unit_Cost]] ) * Tabla1[[#This Row],[Quantity_Sold]]</f>
        <v>2839.1999999999989</v>
      </c>
      <c r="P294" s="12">
        <f>Tabla1[[#This Row],[Profit]] / Tabla1[[#This Row],[Sales_Calculated]]</f>
        <v>0.11590596234770804</v>
      </c>
      <c r="Q294" s="20">
        <f xml:space="preserve"> Tabla1[[#This Row],[Unit_Price]] * Tabla1[[#This Row],[Quantity_Sold]]</f>
        <v>24495.72</v>
      </c>
    </row>
    <row r="295" spans="1:17" x14ac:dyDescent="0.3">
      <c r="A295" s="2">
        <v>1069</v>
      </c>
      <c r="B295" s="1">
        <v>44958</v>
      </c>
      <c r="C295" s="8" t="s">
        <v>38</v>
      </c>
      <c r="D295" s="8" t="s">
        <v>15</v>
      </c>
      <c r="E295" s="6">
        <v>2726.73</v>
      </c>
      <c r="F295" s="2">
        <v>18</v>
      </c>
      <c r="G295" s="8" t="s">
        <v>16</v>
      </c>
      <c r="H295" s="6">
        <v>2760.21</v>
      </c>
      <c r="I295" s="6">
        <v>3219.58</v>
      </c>
      <c r="J295" s="8" t="s">
        <v>30</v>
      </c>
      <c r="K295" s="12">
        <v>0.27</v>
      </c>
      <c r="L295" s="8" t="s">
        <v>27</v>
      </c>
      <c r="M295" s="8" t="s">
        <v>22</v>
      </c>
      <c r="N295" s="10" t="s">
        <v>40</v>
      </c>
      <c r="O295" s="17">
        <f xml:space="preserve"> (Tabla1[[#This Row],[Unit_Price]] - Tabla1[[#This Row],[Unit_Cost]] ) * Tabla1[[#This Row],[Quantity_Sold]]</f>
        <v>8268.659999999998</v>
      </c>
      <c r="P295" s="12">
        <f>Tabla1[[#This Row],[Profit]] / Tabla1[[#This Row],[Sales_Calculated]]</f>
        <v>0.14268010113120341</v>
      </c>
      <c r="Q295" s="20">
        <f xml:space="preserve"> Tabla1[[#This Row],[Unit_Price]] * Tabla1[[#This Row],[Quantity_Sold]]</f>
        <v>57952.44</v>
      </c>
    </row>
    <row r="296" spans="1:17" x14ac:dyDescent="0.3">
      <c r="A296" s="2">
        <v>1037</v>
      </c>
      <c r="B296" s="1">
        <v>45084</v>
      </c>
      <c r="C296" s="8" t="s">
        <v>42</v>
      </c>
      <c r="D296" s="8" t="s">
        <v>25</v>
      </c>
      <c r="E296" s="6">
        <v>6055.38</v>
      </c>
      <c r="F296" s="2">
        <v>4</v>
      </c>
      <c r="G296" s="8" t="s">
        <v>26</v>
      </c>
      <c r="H296" s="6">
        <v>4721.7</v>
      </c>
      <c r="I296" s="6">
        <v>5017.58</v>
      </c>
      <c r="J296" s="8" t="s">
        <v>30</v>
      </c>
      <c r="K296" s="12">
        <v>0.24</v>
      </c>
      <c r="L296" s="8" t="s">
        <v>18</v>
      </c>
      <c r="M296" s="8" t="s">
        <v>22</v>
      </c>
      <c r="N296" s="10" t="s">
        <v>43</v>
      </c>
      <c r="O296" s="17">
        <f xml:space="preserve"> (Tabla1[[#This Row],[Unit_Price]] - Tabla1[[#This Row],[Unit_Cost]] ) * Tabla1[[#This Row],[Quantity_Sold]]</f>
        <v>1183.5200000000004</v>
      </c>
      <c r="P296" s="12">
        <f>Tabla1[[#This Row],[Profit]] / Tabla1[[#This Row],[Sales_Calculated]]</f>
        <v>5.8968666169747191E-2</v>
      </c>
      <c r="Q296" s="20">
        <f xml:space="preserve"> Tabla1[[#This Row],[Unit_Price]] * Tabla1[[#This Row],[Quantity_Sold]]</f>
        <v>20070.32</v>
      </c>
    </row>
    <row r="297" spans="1:17" x14ac:dyDescent="0.3">
      <c r="A297" s="2">
        <v>1032</v>
      </c>
      <c r="B297" s="1">
        <v>45211</v>
      </c>
      <c r="C297" s="8" t="s">
        <v>42</v>
      </c>
      <c r="D297" s="8" t="s">
        <v>15</v>
      </c>
      <c r="E297" s="6">
        <v>3035.94</v>
      </c>
      <c r="F297" s="2">
        <v>17</v>
      </c>
      <c r="G297" s="8" t="s">
        <v>29</v>
      </c>
      <c r="H297" s="6">
        <v>1291.9100000000001</v>
      </c>
      <c r="I297" s="6">
        <v>1528.59</v>
      </c>
      <c r="J297" s="8" t="s">
        <v>17</v>
      </c>
      <c r="K297" s="12">
        <v>0.11</v>
      </c>
      <c r="L297" s="8" t="s">
        <v>31</v>
      </c>
      <c r="M297" s="8" t="s">
        <v>22</v>
      </c>
      <c r="N297" s="10" t="s">
        <v>49</v>
      </c>
      <c r="O297" s="17">
        <f xml:space="preserve"> (Tabla1[[#This Row],[Unit_Price]] - Tabla1[[#This Row],[Unit_Cost]] ) * Tabla1[[#This Row],[Quantity_Sold]]</f>
        <v>4023.5599999999972</v>
      </c>
      <c r="P297" s="12">
        <f>Tabla1[[#This Row],[Profit]] / Tabla1[[#This Row],[Sales_Calculated]]</f>
        <v>0.15483550199857374</v>
      </c>
      <c r="Q297" s="20">
        <f xml:space="preserve"> Tabla1[[#This Row],[Unit_Price]] * Tabla1[[#This Row],[Quantity_Sold]]</f>
        <v>25986.03</v>
      </c>
    </row>
    <row r="298" spans="1:17" x14ac:dyDescent="0.3">
      <c r="A298" s="2">
        <v>1009</v>
      </c>
      <c r="B298" s="1">
        <v>45231</v>
      </c>
      <c r="C298" s="8" t="s">
        <v>14</v>
      </c>
      <c r="D298" s="8" t="s">
        <v>25</v>
      </c>
      <c r="E298" s="6">
        <v>7172.8</v>
      </c>
      <c r="F298" s="2">
        <v>14</v>
      </c>
      <c r="G298" s="8" t="s">
        <v>26</v>
      </c>
      <c r="H298" s="6">
        <v>547.79</v>
      </c>
      <c r="I298" s="6">
        <v>958.76</v>
      </c>
      <c r="J298" s="8" t="s">
        <v>17</v>
      </c>
      <c r="K298" s="12">
        <v>7.0000000000000007E-2</v>
      </c>
      <c r="L298" s="8" t="s">
        <v>31</v>
      </c>
      <c r="M298" s="8" t="s">
        <v>22</v>
      </c>
      <c r="N298" s="10" t="s">
        <v>32</v>
      </c>
      <c r="O298" s="17">
        <f xml:space="preserve"> (Tabla1[[#This Row],[Unit_Price]] - Tabla1[[#This Row],[Unit_Cost]] ) * Tabla1[[#This Row],[Quantity_Sold]]</f>
        <v>5753.58</v>
      </c>
      <c r="P298" s="12">
        <f>Tabla1[[#This Row],[Profit]] / Tabla1[[#This Row],[Sales_Calculated]]</f>
        <v>0.42864741958362884</v>
      </c>
      <c r="Q298" s="20">
        <f xml:space="preserve"> Tabla1[[#This Row],[Unit_Price]] * Tabla1[[#This Row],[Quantity_Sold]]</f>
        <v>13422.64</v>
      </c>
    </row>
    <row r="299" spans="1:17" x14ac:dyDescent="0.3">
      <c r="A299" s="2">
        <v>1099</v>
      </c>
      <c r="B299" s="1">
        <v>45212</v>
      </c>
      <c r="C299" s="8" t="s">
        <v>33</v>
      </c>
      <c r="D299" s="8" t="s">
        <v>15</v>
      </c>
      <c r="E299" s="6">
        <v>7614.15</v>
      </c>
      <c r="F299" s="2">
        <v>14</v>
      </c>
      <c r="G299" s="8" t="s">
        <v>26</v>
      </c>
      <c r="H299" s="6">
        <v>1996.64</v>
      </c>
      <c r="I299" s="6">
        <v>2341.4699999999998</v>
      </c>
      <c r="J299" s="8" t="s">
        <v>17</v>
      </c>
      <c r="K299" s="12">
        <v>0.22</v>
      </c>
      <c r="L299" s="8" t="s">
        <v>31</v>
      </c>
      <c r="M299" s="8" t="s">
        <v>19</v>
      </c>
      <c r="N299" s="10" t="s">
        <v>53</v>
      </c>
      <c r="O299" s="17">
        <f xml:space="preserve"> (Tabla1[[#This Row],[Unit_Price]] - Tabla1[[#This Row],[Unit_Cost]] ) * Tabla1[[#This Row],[Quantity_Sold]]</f>
        <v>4827.6199999999953</v>
      </c>
      <c r="P299" s="12">
        <f>Tabla1[[#This Row],[Profit]] / Tabla1[[#This Row],[Sales_Calculated]]</f>
        <v>0.14727073163440049</v>
      </c>
      <c r="Q299" s="20">
        <f xml:space="preserve"> Tabla1[[#This Row],[Unit_Price]] * Tabla1[[#This Row],[Quantity_Sold]]</f>
        <v>32780.579999999994</v>
      </c>
    </row>
    <row r="300" spans="1:17" x14ac:dyDescent="0.3">
      <c r="A300" s="2">
        <v>1019</v>
      </c>
      <c r="B300" s="1">
        <v>45070</v>
      </c>
      <c r="C300" s="8" t="s">
        <v>38</v>
      </c>
      <c r="D300" s="8" t="s">
        <v>25</v>
      </c>
      <c r="E300" s="6">
        <v>1114.9100000000001</v>
      </c>
      <c r="F300" s="2">
        <v>13</v>
      </c>
      <c r="G300" s="8" t="s">
        <v>26</v>
      </c>
      <c r="H300" s="6">
        <v>3102.73</v>
      </c>
      <c r="I300" s="6">
        <v>3202.68</v>
      </c>
      <c r="J300" s="8" t="s">
        <v>30</v>
      </c>
      <c r="K300" s="12">
        <v>0.09</v>
      </c>
      <c r="L300" s="8" t="s">
        <v>18</v>
      </c>
      <c r="M300" s="8" t="s">
        <v>19</v>
      </c>
      <c r="N300" s="10" t="s">
        <v>39</v>
      </c>
      <c r="O300" s="17">
        <f xml:space="preserve"> (Tabla1[[#This Row],[Unit_Price]] - Tabla1[[#This Row],[Unit_Cost]] ) * Tabla1[[#This Row],[Quantity_Sold]]</f>
        <v>1299.3499999999976</v>
      </c>
      <c r="P300" s="12">
        <f>Tabla1[[#This Row],[Profit]] / Tabla1[[#This Row],[Sales_Calculated]]</f>
        <v>3.1208238100590702E-2</v>
      </c>
      <c r="Q300" s="20">
        <f xml:space="preserve"> Tabla1[[#This Row],[Unit_Price]] * Tabla1[[#This Row],[Quantity_Sold]]</f>
        <v>41634.839999999997</v>
      </c>
    </row>
    <row r="301" spans="1:17" x14ac:dyDescent="0.3">
      <c r="A301" s="2">
        <v>1048</v>
      </c>
      <c r="B301" s="1">
        <v>44945</v>
      </c>
      <c r="C301" s="8" t="s">
        <v>14</v>
      </c>
      <c r="D301" s="8" t="s">
        <v>21</v>
      </c>
      <c r="E301" s="6">
        <v>5187.16</v>
      </c>
      <c r="F301" s="2">
        <v>7</v>
      </c>
      <c r="G301" s="8" t="s">
        <v>29</v>
      </c>
      <c r="H301" s="6">
        <v>4310.95</v>
      </c>
      <c r="I301" s="6">
        <v>4723.2</v>
      </c>
      <c r="J301" s="8" t="s">
        <v>17</v>
      </c>
      <c r="K301" s="12">
        <v>0.05</v>
      </c>
      <c r="L301" s="8" t="s">
        <v>31</v>
      </c>
      <c r="M301" s="8" t="s">
        <v>22</v>
      </c>
      <c r="N301" s="10" t="s">
        <v>23</v>
      </c>
      <c r="O301" s="17">
        <f xml:space="preserve"> (Tabla1[[#This Row],[Unit_Price]] - Tabla1[[#This Row],[Unit_Cost]] ) * Tabla1[[#This Row],[Quantity_Sold]]</f>
        <v>2885.75</v>
      </c>
      <c r="P301" s="12">
        <f>Tabla1[[#This Row],[Profit]] / Tabla1[[#This Row],[Sales_Calculated]]</f>
        <v>8.7281927506775062E-2</v>
      </c>
      <c r="Q301" s="20">
        <f xml:space="preserve"> Tabla1[[#This Row],[Unit_Price]] * Tabla1[[#This Row],[Quantity_Sold]]</f>
        <v>33062.400000000001</v>
      </c>
    </row>
    <row r="302" spans="1:17" x14ac:dyDescent="0.3">
      <c r="A302" s="2">
        <v>1080</v>
      </c>
      <c r="B302" s="1">
        <v>44944</v>
      </c>
      <c r="C302" s="8" t="s">
        <v>33</v>
      </c>
      <c r="D302" s="8" t="s">
        <v>34</v>
      </c>
      <c r="E302" s="6">
        <v>5138.0200000000004</v>
      </c>
      <c r="F302" s="2">
        <v>44</v>
      </c>
      <c r="G302" s="8" t="s">
        <v>35</v>
      </c>
      <c r="H302" s="6">
        <v>1763.67</v>
      </c>
      <c r="I302" s="6">
        <v>1983.82</v>
      </c>
      <c r="J302" s="8" t="s">
        <v>30</v>
      </c>
      <c r="K302" s="12">
        <v>0.24</v>
      </c>
      <c r="L302" s="8" t="s">
        <v>31</v>
      </c>
      <c r="M302" s="8" t="s">
        <v>19</v>
      </c>
      <c r="N302" s="10" t="s">
        <v>36</v>
      </c>
      <c r="O302" s="17">
        <f xml:space="preserve"> (Tabla1[[#This Row],[Unit_Price]] - Tabla1[[#This Row],[Unit_Cost]] ) * Tabla1[[#This Row],[Quantity_Sold]]</f>
        <v>9686.5999999999949</v>
      </c>
      <c r="P302" s="12">
        <f>Tabla1[[#This Row],[Profit]] / Tabla1[[#This Row],[Sales_Calculated]]</f>
        <v>0.110972769706929</v>
      </c>
      <c r="Q302" s="20">
        <f xml:space="preserve"> Tabla1[[#This Row],[Unit_Price]] * Tabla1[[#This Row],[Quantity_Sold]]</f>
        <v>87288.08</v>
      </c>
    </row>
    <row r="303" spans="1:17" x14ac:dyDescent="0.3">
      <c r="A303" s="2">
        <v>1003</v>
      </c>
      <c r="B303" s="1">
        <v>45183</v>
      </c>
      <c r="C303" s="8" t="s">
        <v>14</v>
      </c>
      <c r="D303" s="8" t="s">
        <v>21</v>
      </c>
      <c r="E303" s="6">
        <v>3755.88</v>
      </c>
      <c r="F303" s="2">
        <v>15</v>
      </c>
      <c r="G303" s="8" t="s">
        <v>29</v>
      </c>
      <c r="H303" s="6">
        <v>3286.24</v>
      </c>
      <c r="I303" s="6">
        <v>3388.8399999999901</v>
      </c>
      <c r="J303" s="8" t="s">
        <v>17</v>
      </c>
      <c r="K303" s="12">
        <v>0.09</v>
      </c>
      <c r="L303" s="8" t="s">
        <v>31</v>
      </c>
      <c r="M303" s="8" t="s">
        <v>22</v>
      </c>
      <c r="N303" s="10" t="s">
        <v>23</v>
      </c>
      <c r="O303" s="17">
        <f xml:space="preserve"> (Tabla1[[#This Row],[Unit_Price]] - Tabla1[[#This Row],[Unit_Cost]] ) * Tabla1[[#This Row],[Quantity_Sold]]</f>
        <v>1538.9999999998554</v>
      </c>
      <c r="P303" s="12">
        <f>Tabla1[[#This Row],[Profit]] / Tabla1[[#This Row],[Sales_Calculated]]</f>
        <v>3.0275846602374458E-2</v>
      </c>
      <c r="Q303" s="20">
        <f xml:space="preserve"> Tabla1[[#This Row],[Unit_Price]] * Tabla1[[#This Row],[Quantity_Sold]]</f>
        <v>50832.599999999853</v>
      </c>
    </row>
    <row r="304" spans="1:17" x14ac:dyDescent="0.3">
      <c r="A304" s="2">
        <v>1020</v>
      </c>
      <c r="B304" s="1">
        <v>45004</v>
      </c>
      <c r="C304" s="8" t="s">
        <v>38</v>
      </c>
      <c r="D304" s="8" t="s">
        <v>21</v>
      </c>
      <c r="E304" s="6">
        <v>9335.9599999999991</v>
      </c>
      <c r="F304" s="2">
        <v>19</v>
      </c>
      <c r="G304" s="8" t="s">
        <v>26</v>
      </c>
      <c r="H304" s="6">
        <v>1783.48</v>
      </c>
      <c r="I304" s="6">
        <v>1931.56</v>
      </c>
      <c r="J304" s="8" t="s">
        <v>17</v>
      </c>
      <c r="K304" s="12">
        <v>0.27</v>
      </c>
      <c r="L304" s="8" t="s">
        <v>27</v>
      </c>
      <c r="M304" s="8" t="s">
        <v>22</v>
      </c>
      <c r="N304" s="10" t="s">
        <v>41</v>
      </c>
      <c r="O304" s="17">
        <f xml:space="preserve"> (Tabla1[[#This Row],[Unit_Price]] - Tabla1[[#This Row],[Unit_Cost]] ) * Tabla1[[#This Row],[Quantity_Sold]]</f>
        <v>2813.5199999999986</v>
      </c>
      <c r="P304" s="12">
        <f>Tabla1[[#This Row],[Profit]] / Tabla1[[#This Row],[Sales_Calculated]]</f>
        <v>7.6663422311499474E-2</v>
      </c>
      <c r="Q304" s="20">
        <f xml:space="preserve"> Tabla1[[#This Row],[Unit_Price]] * Tabla1[[#This Row],[Quantity_Sold]]</f>
        <v>36699.64</v>
      </c>
    </row>
    <row r="305" spans="1:17" x14ac:dyDescent="0.3">
      <c r="A305" s="2">
        <v>1024</v>
      </c>
      <c r="B305" s="1">
        <v>45101</v>
      </c>
      <c r="C305" s="8" t="s">
        <v>42</v>
      </c>
      <c r="D305" s="8" t="s">
        <v>15</v>
      </c>
      <c r="E305" s="6">
        <v>8292.31</v>
      </c>
      <c r="F305" s="2">
        <v>43</v>
      </c>
      <c r="G305" s="8" t="s">
        <v>29</v>
      </c>
      <c r="H305" s="6">
        <v>3105.24</v>
      </c>
      <c r="I305" s="6">
        <v>3246.33</v>
      </c>
      <c r="J305" s="8" t="s">
        <v>30</v>
      </c>
      <c r="K305" s="12">
        <v>0.25</v>
      </c>
      <c r="L305" s="8" t="s">
        <v>18</v>
      </c>
      <c r="M305" s="8" t="s">
        <v>19</v>
      </c>
      <c r="N305" s="10" t="s">
        <v>49</v>
      </c>
      <c r="O305" s="17">
        <f xml:space="preserve"> (Tabla1[[#This Row],[Unit_Price]] - Tabla1[[#This Row],[Unit_Cost]] ) * Tabla1[[#This Row],[Quantity_Sold]]</f>
        <v>6066.8700000000063</v>
      </c>
      <c r="P305" s="12">
        <f>Tabla1[[#This Row],[Profit]] / Tabla1[[#This Row],[Sales_Calculated]]</f>
        <v>4.3461385626230281E-2</v>
      </c>
      <c r="Q305" s="20">
        <f xml:space="preserve"> Tabla1[[#This Row],[Unit_Price]] * Tabla1[[#This Row],[Quantity_Sold]]</f>
        <v>139592.19</v>
      </c>
    </row>
    <row r="306" spans="1:17" x14ac:dyDescent="0.3">
      <c r="A306" s="2">
        <v>1054</v>
      </c>
      <c r="B306" s="1">
        <v>45120</v>
      </c>
      <c r="C306" s="8" t="s">
        <v>42</v>
      </c>
      <c r="D306" s="8" t="s">
        <v>25</v>
      </c>
      <c r="E306" s="6">
        <v>7002.37</v>
      </c>
      <c r="F306" s="2">
        <v>47</v>
      </c>
      <c r="G306" s="8" t="s">
        <v>26</v>
      </c>
      <c r="H306" s="6">
        <v>4429.8</v>
      </c>
      <c r="I306" s="6">
        <v>4694.21</v>
      </c>
      <c r="J306" s="8" t="s">
        <v>30</v>
      </c>
      <c r="K306" s="12">
        <v>0.25</v>
      </c>
      <c r="L306" s="8" t="s">
        <v>27</v>
      </c>
      <c r="M306" s="8" t="s">
        <v>19</v>
      </c>
      <c r="N306" s="10" t="s">
        <v>43</v>
      </c>
      <c r="O306" s="17">
        <f xml:space="preserve"> (Tabla1[[#This Row],[Unit_Price]] - Tabla1[[#This Row],[Unit_Cost]] ) * Tabla1[[#This Row],[Quantity_Sold]]</f>
        <v>12427.269999999993</v>
      </c>
      <c r="P306" s="12">
        <f>Tabla1[[#This Row],[Profit]] / Tabla1[[#This Row],[Sales_Calculated]]</f>
        <v>5.6326836677523986E-2</v>
      </c>
      <c r="Q306" s="20">
        <f xml:space="preserve"> Tabla1[[#This Row],[Unit_Price]] * Tabla1[[#This Row],[Quantity_Sold]]</f>
        <v>220627.87</v>
      </c>
    </row>
    <row r="307" spans="1:17" x14ac:dyDescent="0.3">
      <c r="A307" s="2">
        <v>1033</v>
      </c>
      <c r="B307" s="1">
        <v>45039</v>
      </c>
      <c r="C307" s="8" t="s">
        <v>33</v>
      </c>
      <c r="D307" s="8" t="s">
        <v>34</v>
      </c>
      <c r="E307" s="6">
        <v>7171.83</v>
      </c>
      <c r="F307" s="2">
        <v>44</v>
      </c>
      <c r="G307" s="8" t="s">
        <v>35</v>
      </c>
      <c r="H307" s="6">
        <v>1195.22</v>
      </c>
      <c r="I307" s="6">
        <v>1320.06</v>
      </c>
      <c r="J307" s="8" t="s">
        <v>17</v>
      </c>
      <c r="K307" s="12">
        <v>0.23</v>
      </c>
      <c r="L307" s="8" t="s">
        <v>27</v>
      </c>
      <c r="M307" s="8" t="s">
        <v>22</v>
      </c>
      <c r="N307" s="10" t="s">
        <v>36</v>
      </c>
      <c r="O307" s="17">
        <f xml:space="preserve"> (Tabla1[[#This Row],[Unit_Price]] - Tabla1[[#This Row],[Unit_Cost]] ) * Tabla1[[#This Row],[Quantity_Sold]]</f>
        <v>5492.9599999999964</v>
      </c>
      <c r="P307" s="12">
        <f>Tabla1[[#This Row],[Profit]] / Tabla1[[#This Row],[Sales_Calculated]]</f>
        <v>9.4571458873081465E-2</v>
      </c>
      <c r="Q307" s="20">
        <f xml:space="preserve"> Tabla1[[#This Row],[Unit_Price]] * Tabla1[[#This Row],[Quantity_Sold]]</f>
        <v>58082.64</v>
      </c>
    </row>
    <row r="308" spans="1:17" x14ac:dyDescent="0.3">
      <c r="A308" s="2">
        <v>1024</v>
      </c>
      <c r="B308" s="1">
        <v>45040</v>
      </c>
      <c r="C308" s="8" t="s">
        <v>24</v>
      </c>
      <c r="D308" s="8" t="s">
        <v>15</v>
      </c>
      <c r="E308" s="6">
        <v>4670.99</v>
      </c>
      <c r="F308" s="2">
        <v>35</v>
      </c>
      <c r="G308" s="8" t="s">
        <v>16</v>
      </c>
      <c r="H308" s="6">
        <v>2051</v>
      </c>
      <c r="I308" s="6">
        <v>2121.5500000000002</v>
      </c>
      <c r="J308" s="8" t="s">
        <v>17</v>
      </c>
      <c r="K308" s="12">
        <v>0.26</v>
      </c>
      <c r="L308" s="8" t="s">
        <v>18</v>
      </c>
      <c r="M308" s="8" t="s">
        <v>22</v>
      </c>
      <c r="N308" s="10" t="s">
        <v>45</v>
      </c>
      <c r="O308" s="17">
        <f xml:space="preserve"> (Tabla1[[#This Row],[Unit_Price]] - Tabla1[[#This Row],[Unit_Cost]] ) * Tabla1[[#This Row],[Quantity_Sold]]</f>
        <v>2469.2500000000064</v>
      </c>
      <c r="P308" s="12">
        <f>Tabla1[[#This Row],[Profit]] / Tabla1[[#This Row],[Sales_Calculated]]</f>
        <v>3.3253988828922339E-2</v>
      </c>
      <c r="Q308" s="20">
        <f xml:space="preserve"> Tabla1[[#This Row],[Unit_Price]] * Tabla1[[#This Row],[Quantity_Sold]]</f>
        <v>74254.25</v>
      </c>
    </row>
    <row r="309" spans="1:17" x14ac:dyDescent="0.3">
      <c r="A309" s="2">
        <v>1075</v>
      </c>
      <c r="B309" s="1">
        <v>45148</v>
      </c>
      <c r="C309" s="8" t="s">
        <v>33</v>
      </c>
      <c r="D309" s="8" t="s">
        <v>15</v>
      </c>
      <c r="E309" s="6">
        <v>9217.85</v>
      </c>
      <c r="F309" s="2">
        <v>17</v>
      </c>
      <c r="G309" s="8" t="s">
        <v>35</v>
      </c>
      <c r="H309" s="6">
        <v>4966.66</v>
      </c>
      <c r="I309" s="6">
        <v>5037.2699999999904</v>
      </c>
      <c r="J309" s="8" t="s">
        <v>17</v>
      </c>
      <c r="K309" s="12">
        <v>0.24</v>
      </c>
      <c r="L309" s="8" t="s">
        <v>27</v>
      </c>
      <c r="M309" s="8" t="s">
        <v>22</v>
      </c>
      <c r="N309" s="10" t="s">
        <v>53</v>
      </c>
      <c r="O309" s="17">
        <f xml:space="preserve"> (Tabla1[[#This Row],[Unit_Price]] - Tabla1[[#This Row],[Unit_Cost]] ) * Tabla1[[#This Row],[Quantity_Sold]]</f>
        <v>1200.3699999998398</v>
      </c>
      <c r="P309" s="12">
        <f>Tabla1[[#This Row],[Profit]] / Tabla1[[#This Row],[Sales_Calculated]]</f>
        <v>1.4017513454706759E-2</v>
      </c>
      <c r="Q309" s="20">
        <f xml:space="preserve"> Tabla1[[#This Row],[Unit_Price]] * Tabla1[[#This Row],[Quantity_Sold]]</f>
        <v>85633.589999999836</v>
      </c>
    </row>
    <row r="310" spans="1:17" x14ac:dyDescent="0.3">
      <c r="A310" s="2">
        <v>1072</v>
      </c>
      <c r="B310" s="1">
        <v>45092</v>
      </c>
      <c r="C310" s="8" t="s">
        <v>24</v>
      </c>
      <c r="D310" s="8" t="s">
        <v>15</v>
      </c>
      <c r="E310" s="6">
        <v>6976.49</v>
      </c>
      <c r="F310" s="2">
        <v>35</v>
      </c>
      <c r="G310" s="8" t="s">
        <v>35</v>
      </c>
      <c r="H310" s="6">
        <v>4349.3599999999997</v>
      </c>
      <c r="I310" s="6">
        <v>4645.17</v>
      </c>
      <c r="J310" s="8" t="s">
        <v>17</v>
      </c>
      <c r="K310" s="12">
        <v>0.18</v>
      </c>
      <c r="L310" s="8" t="s">
        <v>31</v>
      </c>
      <c r="M310" s="8" t="s">
        <v>22</v>
      </c>
      <c r="N310" s="10" t="s">
        <v>45</v>
      </c>
      <c r="O310" s="17">
        <f xml:space="preserve"> (Tabla1[[#This Row],[Unit_Price]] - Tabla1[[#This Row],[Unit_Cost]] ) * Tabla1[[#This Row],[Quantity_Sold]]</f>
        <v>10353.350000000013</v>
      </c>
      <c r="P310" s="12">
        <f>Tabla1[[#This Row],[Profit]] / Tabla1[[#This Row],[Sales_Calculated]]</f>
        <v>6.3681200042194436E-2</v>
      </c>
      <c r="Q310" s="20">
        <f xml:space="preserve"> Tabla1[[#This Row],[Unit_Price]] * Tabla1[[#This Row],[Quantity_Sold]]</f>
        <v>162580.95000000001</v>
      </c>
    </row>
    <row r="311" spans="1:17" x14ac:dyDescent="0.3">
      <c r="A311" s="2">
        <v>1036</v>
      </c>
      <c r="B311" s="1">
        <v>45245</v>
      </c>
      <c r="C311" s="8" t="s">
        <v>14</v>
      </c>
      <c r="D311" s="8" t="s">
        <v>21</v>
      </c>
      <c r="E311" s="6">
        <v>7316.91</v>
      </c>
      <c r="F311" s="2">
        <v>19</v>
      </c>
      <c r="G311" s="8" t="s">
        <v>16</v>
      </c>
      <c r="H311" s="6">
        <v>2844.97</v>
      </c>
      <c r="I311" s="6">
        <v>3215</v>
      </c>
      <c r="J311" s="8" t="s">
        <v>17</v>
      </c>
      <c r="K311" s="12">
        <v>0.09</v>
      </c>
      <c r="L311" s="8" t="s">
        <v>31</v>
      </c>
      <c r="M311" s="8" t="s">
        <v>22</v>
      </c>
      <c r="N311" s="10" t="s">
        <v>23</v>
      </c>
      <c r="O311" s="17">
        <f xml:space="preserve"> (Tabla1[[#This Row],[Unit_Price]] - Tabla1[[#This Row],[Unit_Cost]] ) * Tabla1[[#This Row],[Quantity_Sold]]</f>
        <v>7030.5700000000033</v>
      </c>
      <c r="P311" s="12">
        <f>Tabla1[[#This Row],[Profit]] / Tabla1[[#This Row],[Sales_Calculated]]</f>
        <v>0.11509486780715401</v>
      </c>
      <c r="Q311" s="20">
        <f xml:space="preserve"> Tabla1[[#This Row],[Unit_Price]] * Tabla1[[#This Row],[Quantity_Sold]]</f>
        <v>61085</v>
      </c>
    </row>
    <row r="312" spans="1:17" x14ac:dyDescent="0.3">
      <c r="A312" s="2">
        <v>1038</v>
      </c>
      <c r="B312" s="1">
        <v>45058</v>
      </c>
      <c r="C312" s="8" t="s">
        <v>14</v>
      </c>
      <c r="D312" s="8" t="s">
        <v>25</v>
      </c>
      <c r="E312" s="6">
        <v>8630.74</v>
      </c>
      <c r="F312" s="2">
        <v>20</v>
      </c>
      <c r="G312" s="8" t="s">
        <v>29</v>
      </c>
      <c r="H312" s="6">
        <v>2607.31</v>
      </c>
      <c r="I312" s="6">
        <v>2774.86</v>
      </c>
      <c r="J312" s="8" t="s">
        <v>30</v>
      </c>
      <c r="K312" s="12">
        <v>0.27</v>
      </c>
      <c r="L312" s="8" t="s">
        <v>31</v>
      </c>
      <c r="M312" s="8" t="s">
        <v>22</v>
      </c>
      <c r="N312" s="10" t="s">
        <v>32</v>
      </c>
      <c r="O312" s="17">
        <f xml:space="preserve"> (Tabla1[[#This Row],[Unit_Price]] - Tabla1[[#This Row],[Unit_Cost]] ) * Tabla1[[#This Row],[Quantity_Sold]]</f>
        <v>3351.0000000000036</v>
      </c>
      <c r="P312" s="12">
        <f>Tabla1[[#This Row],[Profit]] / Tabla1[[#This Row],[Sales_Calculated]]</f>
        <v>6.0381424648450796E-2</v>
      </c>
      <c r="Q312" s="20">
        <f xml:space="preserve"> Tabla1[[#This Row],[Unit_Price]] * Tabla1[[#This Row],[Quantity_Sold]]</f>
        <v>55497.200000000004</v>
      </c>
    </row>
    <row r="313" spans="1:17" x14ac:dyDescent="0.3">
      <c r="A313" s="2">
        <v>1084</v>
      </c>
      <c r="B313" s="1">
        <v>45190</v>
      </c>
      <c r="C313" s="8" t="s">
        <v>38</v>
      </c>
      <c r="D313" s="8" t="s">
        <v>25</v>
      </c>
      <c r="E313" s="6">
        <v>2813.31</v>
      </c>
      <c r="F313" s="2">
        <v>36</v>
      </c>
      <c r="G313" s="8" t="s">
        <v>16</v>
      </c>
      <c r="H313" s="6">
        <v>1458.77</v>
      </c>
      <c r="I313" s="6">
        <v>1485.75</v>
      </c>
      <c r="J313" s="8" t="s">
        <v>30</v>
      </c>
      <c r="K313" s="12">
        <v>0.25</v>
      </c>
      <c r="L313" s="8" t="s">
        <v>31</v>
      </c>
      <c r="M313" s="8" t="s">
        <v>19</v>
      </c>
      <c r="N313" s="10" t="s">
        <v>39</v>
      </c>
      <c r="O313" s="17">
        <f xml:space="preserve"> (Tabla1[[#This Row],[Unit_Price]] - Tabla1[[#This Row],[Unit_Cost]] ) * Tabla1[[#This Row],[Quantity_Sold]]</f>
        <v>971.28000000000065</v>
      </c>
      <c r="P313" s="12">
        <f>Tabla1[[#This Row],[Profit]] / Tabla1[[#This Row],[Sales_Calculated]]</f>
        <v>1.8159178865892658E-2</v>
      </c>
      <c r="Q313" s="20">
        <f xml:space="preserve"> Tabla1[[#This Row],[Unit_Price]] * Tabla1[[#This Row],[Quantity_Sold]]</f>
        <v>53487</v>
      </c>
    </row>
    <row r="314" spans="1:17" x14ac:dyDescent="0.3">
      <c r="A314" s="2">
        <v>1099</v>
      </c>
      <c r="B314" s="1">
        <v>44981</v>
      </c>
      <c r="C314" s="8" t="s">
        <v>24</v>
      </c>
      <c r="D314" s="8" t="s">
        <v>34</v>
      </c>
      <c r="E314" s="6">
        <v>8090</v>
      </c>
      <c r="F314" s="2">
        <v>35</v>
      </c>
      <c r="G314" s="8" t="s">
        <v>29</v>
      </c>
      <c r="H314" s="6">
        <v>2610.19</v>
      </c>
      <c r="I314" s="6">
        <v>2682.53</v>
      </c>
      <c r="J314" s="8" t="s">
        <v>30</v>
      </c>
      <c r="K314" s="12">
        <v>0.14000000000000001</v>
      </c>
      <c r="L314" s="8" t="s">
        <v>18</v>
      </c>
      <c r="M314" s="8" t="s">
        <v>22</v>
      </c>
      <c r="N314" s="10" t="s">
        <v>50</v>
      </c>
      <c r="O314" s="17">
        <f xml:space="preserve"> (Tabla1[[#This Row],[Unit_Price]] - Tabla1[[#This Row],[Unit_Cost]] ) * Tabla1[[#This Row],[Quantity_Sold]]</f>
        <v>2531.9000000000051</v>
      </c>
      <c r="P314" s="12">
        <f>Tabla1[[#This Row],[Profit]] / Tabla1[[#This Row],[Sales_Calculated]]</f>
        <v>2.6967079585316901E-2</v>
      </c>
      <c r="Q314" s="20">
        <f xml:space="preserve"> Tabla1[[#This Row],[Unit_Price]] * Tabla1[[#This Row],[Quantity_Sold]]</f>
        <v>93888.55</v>
      </c>
    </row>
    <row r="315" spans="1:17" x14ac:dyDescent="0.3">
      <c r="A315" s="2">
        <v>1089</v>
      </c>
      <c r="B315" s="1">
        <v>45285</v>
      </c>
      <c r="C315" s="8" t="s">
        <v>38</v>
      </c>
      <c r="D315" s="8" t="s">
        <v>25</v>
      </c>
      <c r="E315" s="6">
        <v>2032.88</v>
      </c>
      <c r="F315" s="2">
        <v>32</v>
      </c>
      <c r="G315" s="8" t="s">
        <v>29</v>
      </c>
      <c r="H315" s="6">
        <v>4248.5</v>
      </c>
      <c r="I315" s="6">
        <v>4706.7</v>
      </c>
      <c r="J315" s="8" t="s">
        <v>30</v>
      </c>
      <c r="K315" s="12">
        <v>0.01</v>
      </c>
      <c r="L315" s="8" t="s">
        <v>27</v>
      </c>
      <c r="M315" s="8" t="s">
        <v>22</v>
      </c>
      <c r="N315" s="10" t="s">
        <v>39</v>
      </c>
      <c r="O315" s="17">
        <f xml:space="preserve"> (Tabla1[[#This Row],[Unit_Price]] - Tabla1[[#This Row],[Unit_Cost]] ) * Tabla1[[#This Row],[Quantity_Sold]]</f>
        <v>14662.399999999994</v>
      </c>
      <c r="P315" s="12">
        <f>Tabla1[[#This Row],[Profit]] / Tabla1[[#This Row],[Sales_Calculated]]</f>
        <v>9.7350585335797865E-2</v>
      </c>
      <c r="Q315" s="20">
        <f xml:space="preserve"> Tabla1[[#This Row],[Unit_Price]] * Tabla1[[#This Row],[Quantity_Sold]]</f>
        <v>150614.39999999999</v>
      </c>
    </row>
    <row r="316" spans="1:17" x14ac:dyDescent="0.3">
      <c r="A316" s="2">
        <v>1099</v>
      </c>
      <c r="B316" s="1">
        <v>45057</v>
      </c>
      <c r="C316" s="8" t="s">
        <v>42</v>
      </c>
      <c r="D316" s="8" t="s">
        <v>25</v>
      </c>
      <c r="E316" s="6">
        <v>3518.89</v>
      </c>
      <c r="F316" s="2">
        <v>48</v>
      </c>
      <c r="G316" s="8" t="s">
        <v>26</v>
      </c>
      <c r="H316" s="6">
        <v>3441.61</v>
      </c>
      <c r="I316" s="6">
        <v>3693.45</v>
      </c>
      <c r="J316" s="8" t="s">
        <v>17</v>
      </c>
      <c r="K316" s="12">
        <v>0.19</v>
      </c>
      <c r="L316" s="8" t="s">
        <v>27</v>
      </c>
      <c r="M316" s="8" t="s">
        <v>19</v>
      </c>
      <c r="N316" s="10" t="s">
        <v>43</v>
      </c>
      <c r="O316" s="17">
        <f xml:space="preserve"> (Tabla1[[#This Row],[Unit_Price]] - Tabla1[[#This Row],[Unit_Cost]] ) * Tabla1[[#This Row],[Quantity_Sold]]</f>
        <v>12088.319999999985</v>
      </c>
      <c r="P316" s="12">
        <f>Tabla1[[#This Row],[Profit]] / Tabla1[[#This Row],[Sales_Calculated]]</f>
        <v>6.8185571755404767E-2</v>
      </c>
      <c r="Q316" s="20">
        <f xml:space="preserve"> Tabla1[[#This Row],[Unit_Price]] * Tabla1[[#This Row],[Quantity_Sold]]</f>
        <v>177285.59999999998</v>
      </c>
    </row>
    <row r="317" spans="1:17" x14ac:dyDescent="0.3">
      <c r="A317" s="2">
        <v>1025</v>
      </c>
      <c r="B317" s="1">
        <v>45214</v>
      </c>
      <c r="C317" s="8" t="s">
        <v>24</v>
      </c>
      <c r="D317" s="8" t="s">
        <v>15</v>
      </c>
      <c r="E317" s="6">
        <v>3422.54</v>
      </c>
      <c r="F317" s="2">
        <v>44</v>
      </c>
      <c r="G317" s="8" t="s">
        <v>26</v>
      </c>
      <c r="H317" s="6">
        <v>1485.72</v>
      </c>
      <c r="I317" s="6">
        <v>1717.97</v>
      </c>
      <c r="J317" s="8" t="s">
        <v>30</v>
      </c>
      <c r="K317" s="12">
        <v>0.02</v>
      </c>
      <c r="L317" s="8" t="s">
        <v>31</v>
      </c>
      <c r="M317" s="8" t="s">
        <v>22</v>
      </c>
      <c r="N317" s="10" t="s">
        <v>45</v>
      </c>
      <c r="O317" s="17">
        <f xml:space="preserve"> (Tabla1[[#This Row],[Unit_Price]] - Tabla1[[#This Row],[Unit_Cost]] ) * Tabla1[[#This Row],[Quantity_Sold]]</f>
        <v>10219</v>
      </c>
      <c r="P317" s="12">
        <f>Tabla1[[#This Row],[Profit]] / Tabla1[[#This Row],[Sales_Calculated]]</f>
        <v>0.13518862378272029</v>
      </c>
      <c r="Q317" s="20">
        <f xml:space="preserve"> Tabla1[[#This Row],[Unit_Price]] * Tabla1[[#This Row],[Quantity_Sold]]</f>
        <v>75590.680000000008</v>
      </c>
    </row>
    <row r="318" spans="1:17" x14ac:dyDescent="0.3">
      <c r="A318" s="2">
        <v>1093</v>
      </c>
      <c r="B318" s="1">
        <v>45192</v>
      </c>
      <c r="C318" s="8" t="s">
        <v>33</v>
      </c>
      <c r="D318" s="8" t="s">
        <v>15</v>
      </c>
      <c r="E318" s="6">
        <v>9787.4</v>
      </c>
      <c r="F318" s="2">
        <v>40</v>
      </c>
      <c r="G318" s="8" t="s">
        <v>16</v>
      </c>
      <c r="H318" s="6">
        <v>1047.25</v>
      </c>
      <c r="I318" s="6">
        <v>1075.8900000000001</v>
      </c>
      <c r="J318" s="8" t="s">
        <v>30</v>
      </c>
      <c r="K318" s="12">
        <v>0.28000000000000003</v>
      </c>
      <c r="L318" s="8" t="s">
        <v>31</v>
      </c>
      <c r="M318" s="8" t="s">
        <v>22</v>
      </c>
      <c r="N318" s="10" t="s">
        <v>53</v>
      </c>
      <c r="O318" s="17">
        <f xml:space="preserve"> (Tabla1[[#This Row],[Unit_Price]] - Tabla1[[#This Row],[Unit_Cost]] ) * Tabla1[[#This Row],[Quantity_Sold]]</f>
        <v>1145.600000000004</v>
      </c>
      <c r="P318" s="12">
        <f>Tabla1[[#This Row],[Profit]] / Tabla1[[#This Row],[Sales_Calculated]]</f>
        <v>2.6619821728987254E-2</v>
      </c>
      <c r="Q318" s="20">
        <f xml:space="preserve"> Tabla1[[#This Row],[Unit_Price]] * Tabla1[[#This Row],[Quantity_Sold]]</f>
        <v>43035.600000000006</v>
      </c>
    </row>
    <row r="319" spans="1:17" x14ac:dyDescent="0.3">
      <c r="A319" s="2">
        <v>1018</v>
      </c>
      <c r="B319" s="1">
        <v>45292</v>
      </c>
      <c r="C319" s="8" t="s">
        <v>42</v>
      </c>
      <c r="D319" s="8" t="s">
        <v>21</v>
      </c>
      <c r="E319" s="6">
        <v>8579.7199999999993</v>
      </c>
      <c r="F319" s="2">
        <v>24</v>
      </c>
      <c r="G319" s="8" t="s">
        <v>35</v>
      </c>
      <c r="H319" s="6">
        <v>1362.78</v>
      </c>
      <c r="I319" s="6">
        <v>1729.81</v>
      </c>
      <c r="J319" s="8" t="s">
        <v>30</v>
      </c>
      <c r="K319" s="12">
        <v>0.28999999999999998</v>
      </c>
      <c r="L319" s="8" t="s">
        <v>27</v>
      </c>
      <c r="M319" s="8" t="s">
        <v>19</v>
      </c>
      <c r="N319" s="10" t="s">
        <v>51</v>
      </c>
      <c r="O319" s="17">
        <f xml:space="preserve"> (Tabla1[[#This Row],[Unit_Price]] - Tabla1[[#This Row],[Unit_Cost]] ) * Tabla1[[#This Row],[Quantity_Sold]]</f>
        <v>8808.7199999999993</v>
      </c>
      <c r="P319" s="12">
        <f>Tabla1[[#This Row],[Profit]] / Tabla1[[#This Row],[Sales_Calculated]]</f>
        <v>0.21217937230100412</v>
      </c>
      <c r="Q319" s="20">
        <f xml:space="preserve"> Tabla1[[#This Row],[Unit_Price]] * Tabla1[[#This Row],[Quantity_Sold]]</f>
        <v>41515.440000000002</v>
      </c>
    </row>
    <row r="320" spans="1:17" x14ac:dyDescent="0.3">
      <c r="A320" s="2">
        <v>1082</v>
      </c>
      <c r="B320" s="1">
        <v>45088</v>
      </c>
      <c r="C320" s="8" t="s">
        <v>42</v>
      </c>
      <c r="D320" s="8" t="s">
        <v>15</v>
      </c>
      <c r="E320" s="6">
        <v>7041.58</v>
      </c>
      <c r="F320" s="2">
        <v>17</v>
      </c>
      <c r="G320" s="8" t="s">
        <v>16</v>
      </c>
      <c r="H320" s="6">
        <v>890.31</v>
      </c>
      <c r="I320" s="6">
        <v>1159.06</v>
      </c>
      <c r="J320" s="8" t="s">
        <v>17</v>
      </c>
      <c r="K320" s="12">
        <v>0.06</v>
      </c>
      <c r="L320" s="8" t="s">
        <v>18</v>
      </c>
      <c r="M320" s="8" t="s">
        <v>22</v>
      </c>
      <c r="N320" s="10" t="s">
        <v>49</v>
      </c>
      <c r="O320" s="17">
        <f xml:space="preserve"> (Tabla1[[#This Row],[Unit_Price]] - Tabla1[[#This Row],[Unit_Cost]] ) * Tabla1[[#This Row],[Quantity_Sold]]</f>
        <v>4568.75</v>
      </c>
      <c r="P320" s="12">
        <f>Tabla1[[#This Row],[Profit]] / Tabla1[[#This Row],[Sales_Calculated]]</f>
        <v>0.23186892826945973</v>
      </c>
      <c r="Q320" s="20">
        <f xml:space="preserve"> Tabla1[[#This Row],[Unit_Price]] * Tabla1[[#This Row],[Quantity_Sold]]</f>
        <v>19704.02</v>
      </c>
    </row>
    <row r="321" spans="1:17" x14ac:dyDescent="0.3">
      <c r="A321" s="2">
        <v>1066</v>
      </c>
      <c r="B321" s="1">
        <v>45013</v>
      </c>
      <c r="C321" s="8" t="s">
        <v>33</v>
      </c>
      <c r="D321" s="8" t="s">
        <v>15</v>
      </c>
      <c r="E321" s="6">
        <v>7297.86</v>
      </c>
      <c r="F321" s="2">
        <v>7</v>
      </c>
      <c r="G321" s="8" t="s">
        <v>29</v>
      </c>
      <c r="H321" s="6">
        <v>523.41999999999996</v>
      </c>
      <c r="I321" s="6">
        <v>632.43999999999903</v>
      </c>
      <c r="J321" s="8" t="s">
        <v>30</v>
      </c>
      <c r="K321" s="12">
        <v>0.2</v>
      </c>
      <c r="L321" s="8" t="s">
        <v>27</v>
      </c>
      <c r="M321" s="8" t="s">
        <v>19</v>
      </c>
      <c r="N321" s="10" t="s">
        <v>53</v>
      </c>
      <c r="O321" s="17">
        <f xml:space="preserve"> (Tabla1[[#This Row],[Unit_Price]] - Tabla1[[#This Row],[Unit_Cost]] ) * Tabla1[[#This Row],[Quantity_Sold]]</f>
        <v>763.13999999999351</v>
      </c>
      <c r="P321" s="12">
        <f>Tabla1[[#This Row],[Profit]] / Tabla1[[#This Row],[Sales_Calculated]]</f>
        <v>0.17237998861551962</v>
      </c>
      <c r="Q321" s="20">
        <f xml:space="preserve"> Tabla1[[#This Row],[Unit_Price]] * Tabla1[[#This Row],[Quantity_Sold]]</f>
        <v>4427.0799999999936</v>
      </c>
    </row>
    <row r="322" spans="1:17" x14ac:dyDescent="0.3">
      <c r="A322" s="2">
        <v>1054</v>
      </c>
      <c r="B322" s="1">
        <v>44981</v>
      </c>
      <c r="C322" s="8" t="s">
        <v>42</v>
      </c>
      <c r="D322" s="8" t="s">
        <v>15</v>
      </c>
      <c r="E322" s="6">
        <v>5664.52</v>
      </c>
      <c r="F322" s="2">
        <v>43</v>
      </c>
      <c r="G322" s="8" t="s">
        <v>26</v>
      </c>
      <c r="H322" s="6">
        <v>2124.7199999999998</v>
      </c>
      <c r="I322" s="6">
        <v>2188.66</v>
      </c>
      <c r="J322" s="8" t="s">
        <v>17</v>
      </c>
      <c r="K322" s="12">
        <v>0.03</v>
      </c>
      <c r="L322" s="8" t="s">
        <v>31</v>
      </c>
      <c r="M322" s="8" t="s">
        <v>22</v>
      </c>
      <c r="N322" s="10" t="s">
        <v>49</v>
      </c>
      <c r="O322" s="17">
        <f xml:space="preserve"> (Tabla1[[#This Row],[Unit_Price]] - Tabla1[[#This Row],[Unit_Cost]] ) * Tabla1[[#This Row],[Quantity_Sold]]</f>
        <v>2749.4200000000023</v>
      </c>
      <c r="P322" s="12">
        <f>Tabla1[[#This Row],[Profit]] / Tabla1[[#This Row],[Sales_Calculated]]</f>
        <v>2.9214222400921138E-2</v>
      </c>
      <c r="Q322" s="20">
        <f xml:space="preserve"> Tabla1[[#This Row],[Unit_Price]] * Tabla1[[#This Row],[Quantity_Sold]]</f>
        <v>94112.37999999999</v>
      </c>
    </row>
    <row r="323" spans="1:17" x14ac:dyDescent="0.3">
      <c r="A323" s="2">
        <v>1035</v>
      </c>
      <c r="B323" s="1">
        <v>45214</v>
      </c>
      <c r="C323" s="8" t="s">
        <v>24</v>
      </c>
      <c r="D323" s="8" t="s">
        <v>15</v>
      </c>
      <c r="E323" s="6">
        <v>9476.2000000000007</v>
      </c>
      <c r="F323" s="2">
        <v>1</v>
      </c>
      <c r="G323" s="8" t="s">
        <v>16</v>
      </c>
      <c r="H323" s="6">
        <v>610.83000000000004</v>
      </c>
      <c r="I323" s="6">
        <v>808.69</v>
      </c>
      <c r="J323" s="8" t="s">
        <v>30</v>
      </c>
      <c r="K323" s="12">
        <v>0.22</v>
      </c>
      <c r="L323" s="8" t="s">
        <v>31</v>
      </c>
      <c r="M323" s="8" t="s">
        <v>19</v>
      </c>
      <c r="N323" s="10" t="s">
        <v>45</v>
      </c>
      <c r="O323" s="17">
        <f xml:space="preserve"> (Tabla1[[#This Row],[Unit_Price]] - Tabla1[[#This Row],[Unit_Cost]] ) * Tabla1[[#This Row],[Quantity_Sold]]</f>
        <v>197.86</v>
      </c>
      <c r="P323" s="12">
        <f>Tabla1[[#This Row],[Profit]] / Tabla1[[#This Row],[Sales_Calculated]]</f>
        <v>0.24466730143812834</v>
      </c>
      <c r="Q323" s="20">
        <f xml:space="preserve"> Tabla1[[#This Row],[Unit_Price]] * Tabla1[[#This Row],[Quantity_Sold]]</f>
        <v>808.69</v>
      </c>
    </row>
    <row r="324" spans="1:17" x14ac:dyDescent="0.3">
      <c r="A324" s="2">
        <v>1080</v>
      </c>
      <c r="B324" s="1">
        <v>45104</v>
      </c>
      <c r="C324" s="8" t="s">
        <v>38</v>
      </c>
      <c r="D324" s="8" t="s">
        <v>21</v>
      </c>
      <c r="E324" s="6">
        <v>5012.96</v>
      </c>
      <c r="F324" s="2">
        <v>35</v>
      </c>
      <c r="G324" s="8" t="s">
        <v>16</v>
      </c>
      <c r="H324" s="6">
        <v>900.97</v>
      </c>
      <c r="I324" s="6">
        <v>1321.18</v>
      </c>
      <c r="J324" s="8" t="s">
        <v>17</v>
      </c>
      <c r="K324" s="12">
        <v>0.1</v>
      </c>
      <c r="L324" s="8" t="s">
        <v>18</v>
      </c>
      <c r="M324" s="8" t="s">
        <v>19</v>
      </c>
      <c r="N324" s="10" t="s">
        <v>41</v>
      </c>
      <c r="O324" s="17">
        <f xml:space="preserve"> (Tabla1[[#This Row],[Unit_Price]] - Tabla1[[#This Row],[Unit_Cost]] ) * Tabla1[[#This Row],[Quantity_Sold]]</f>
        <v>14707.350000000002</v>
      </c>
      <c r="P324" s="12">
        <f>Tabla1[[#This Row],[Profit]] / Tabla1[[#This Row],[Sales_Calculated]]</f>
        <v>0.31805658577937906</v>
      </c>
      <c r="Q324" s="20">
        <f xml:space="preserve"> Tabla1[[#This Row],[Unit_Price]] * Tabla1[[#This Row],[Quantity_Sold]]</f>
        <v>46241.3</v>
      </c>
    </row>
    <row r="325" spans="1:17" x14ac:dyDescent="0.3">
      <c r="A325" s="2">
        <v>1061</v>
      </c>
      <c r="B325" s="1">
        <v>45275</v>
      </c>
      <c r="C325" s="8" t="s">
        <v>42</v>
      </c>
      <c r="D325" s="8" t="s">
        <v>15</v>
      </c>
      <c r="E325" s="6">
        <v>3867.13</v>
      </c>
      <c r="F325" s="2">
        <v>32</v>
      </c>
      <c r="G325" s="8" t="s">
        <v>26</v>
      </c>
      <c r="H325" s="6">
        <v>2759.26</v>
      </c>
      <c r="I325" s="6">
        <v>3193.25</v>
      </c>
      <c r="J325" s="8" t="s">
        <v>30</v>
      </c>
      <c r="K325" s="12">
        <v>0.2</v>
      </c>
      <c r="L325" s="8" t="s">
        <v>27</v>
      </c>
      <c r="M325" s="8" t="s">
        <v>19</v>
      </c>
      <c r="N325" s="10" t="s">
        <v>49</v>
      </c>
      <c r="O325" s="17">
        <f xml:space="preserve"> (Tabla1[[#This Row],[Unit_Price]] - Tabla1[[#This Row],[Unit_Cost]] ) * Tabla1[[#This Row],[Quantity_Sold]]</f>
        <v>13887.679999999993</v>
      </c>
      <c r="P325" s="12">
        <f>Tabla1[[#This Row],[Profit]] / Tabla1[[#This Row],[Sales_Calculated]]</f>
        <v>0.13590855711265945</v>
      </c>
      <c r="Q325" s="20">
        <f xml:space="preserve"> Tabla1[[#This Row],[Unit_Price]] * Tabla1[[#This Row],[Quantity_Sold]]</f>
        <v>102184</v>
      </c>
    </row>
    <row r="326" spans="1:17" x14ac:dyDescent="0.3">
      <c r="A326" s="2">
        <v>1041</v>
      </c>
      <c r="B326" s="1">
        <v>44934</v>
      </c>
      <c r="C326" s="8" t="s">
        <v>24</v>
      </c>
      <c r="D326" s="8" t="s">
        <v>34</v>
      </c>
      <c r="E326" s="6">
        <v>1714.05</v>
      </c>
      <c r="F326" s="2">
        <v>36</v>
      </c>
      <c r="G326" s="8" t="s">
        <v>26</v>
      </c>
      <c r="H326" s="6">
        <v>864.77</v>
      </c>
      <c r="I326" s="6">
        <v>1170.1599999999901</v>
      </c>
      <c r="J326" s="8" t="s">
        <v>17</v>
      </c>
      <c r="K326" s="12">
        <v>0.11</v>
      </c>
      <c r="L326" s="8" t="s">
        <v>18</v>
      </c>
      <c r="M326" s="8" t="s">
        <v>22</v>
      </c>
      <c r="N326" s="10" t="s">
        <v>50</v>
      </c>
      <c r="O326" s="17">
        <f xml:space="preserve"> (Tabla1[[#This Row],[Unit_Price]] - Tabla1[[#This Row],[Unit_Cost]] ) * Tabla1[[#This Row],[Quantity_Sold]]</f>
        <v>10994.039999999644</v>
      </c>
      <c r="P326" s="12">
        <f>Tabla1[[#This Row],[Profit]] / Tabla1[[#This Row],[Sales_Calculated]]</f>
        <v>0.26098140425240368</v>
      </c>
      <c r="Q326" s="20">
        <f xml:space="preserve"> Tabla1[[#This Row],[Unit_Price]] * Tabla1[[#This Row],[Quantity_Sold]]</f>
        <v>42125.759999999646</v>
      </c>
    </row>
    <row r="327" spans="1:17" x14ac:dyDescent="0.3">
      <c r="A327" s="2">
        <v>1100</v>
      </c>
      <c r="B327" s="1">
        <v>45247</v>
      </c>
      <c r="C327" s="8" t="s">
        <v>14</v>
      </c>
      <c r="D327" s="8" t="s">
        <v>34</v>
      </c>
      <c r="E327" s="6">
        <v>7883.44</v>
      </c>
      <c r="F327" s="2">
        <v>13</v>
      </c>
      <c r="G327" s="8" t="s">
        <v>26</v>
      </c>
      <c r="H327" s="6">
        <v>366.2</v>
      </c>
      <c r="I327" s="6">
        <v>732.69</v>
      </c>
      <c r="J327" s="8" t="s">
        <v>30</v>
      </c>
      <c r="K327" s="12">
        <v>0.04</v>
      </c>
      <c r="L327" s="8" t="s">
        <v>18</v>
      </c>
      <c r="M327" s="8" t="s">
        <v>22</v>
      </c>
      <c r="N327" s="10" t="s">
        <v>46</v>
      </c>
      <c r="O327" s="17">
        <f xml:space="preserve"> (Tabla1[[#This Row],[Unit_Price]] - Tabla1[[#This Row],[Unit_Cost]] ) * Tabla1[[#This Row],[Quantity_Sold]]</f>
        <v>4764.3700000000008</v>
      </c>
      <c r="P327" s="12">
        <f>Tabla1[[#This Row],[Profit]] / Tabla1[[#This Row],[Sales_Calculated]]</f>
        <v>0.50019790088577709</v>
      </c>
      <c r="Q327" s="20">
        <f xml:space="preserve"> Tabla1[[#This Row],[Unit_Price]] * Tabla1[[#This Row],[Quantity_Sold]]</f>
        <v>9524.9700000000012</v>
      </c>
    </row>
    <row r="328" spans="1:17" x14ac:dyDescent="0.3">
      <c r="A328" s="2">
        <v>1033</v>
      </c>
      <c r="B328" s="1">
        <v>45239</v>
      </c>
      <c r="C328" s="8" t="s">
        <v>24</v>
      </c>
      <c r="D328" s="8" t="s">
        <v>34</v>
      </c>
      <c r="E328" s="6">
        <v>7370.99</v>
      </c>
      <c r="F328" s="2">
        <v>6</v>
      </c>
      <c r="G328" s="8" t="s">
        <v>29</v>
      </c>
      <c r="H328" s="6">
        <v>1621.07</v>
      </c>
      <c r="I328" s="6">
        <v>1687.5</v>
      </c>
      <c r="J328" s="8" t="s">
        <v>17</v>
      </c>
      <c r="K328" s="12">
        <v>0.12</v>
      </c>
      <c r="L328" s="8" t="s">
        <v>31</v>
      </c>
      <c r="M328" s="8" t="s">
        <v>19</v>
      </c>
      <c r="N328" s="10" t="s">
        <v>50</v>
      </c>
      <c r="O328" s="17">
        <f xml:space="preserve"> (Tabla1[[#This Row],[Unit_Price]] - Tabla1[[#This Row],[Unit_Cost]] ) * Tabla1[[#This Row],[Quantity_Sold]]</f>
        <v>398.58000000000038</v>
      </c>
      <c r="P328" s="12">
        <f>Tabla1[[#This Row],[Profit]] / Tabla1[[#This Row],[Sales_Calculated]]</f>
        <v>3.9365925925925964E-2</v>
      </c>
      <c r="Q328" s="20">
        <f xml:space="preserve"> Tabla1[[#This Row],[Unit_Price]] * Tabla1[[#This Row],[Quantity_Sold]]</f>
        <v>10125</v>
      </c>
    </row>
    <row r="329" spans="1:17" x14ac:dyDescent="0.3">
      <c r="A329" s="2">
        <v>1068</v>
      </c>
      <c r="B329" s="1">
        <v>45173</v>
      </c>
      <c r="C329" s="8" t="s">
        <v>38</v>
      </c>
      <c r="D329" s="8" t="s">
        <v>34</v>
      </c>
      <c r="E329" s="6">
        <v>3905.11</v>
      </c>
      <c r="F329" s="2">
        <v>14</v>
      </c>
      <c r="G329" s="8" t="s">
        <v>26</v>
      </c>
      <c r="H329" s="6">
        <v>1140.58</v>
      </c>
      <c r="I329" s="6">
        <v>1438.76</v>
      </c>
      <c r="J329" s="8" t="s">
        <v>17</v>
      </c>
      <c r="K329" s="12">
        <v>0.03</v>
      </c>
      <c r="L329" s="8" t="s">
        <v>27</v>
      </c>
      <c r="M329" s="8" t="s">
        <v>19</v>
      </c>
      <c r="N329" s="10" t="s">
        <v>48</v>
      </c>
      <c r="O329" s="17">
        <f xml:space="preserve"> (Tabla1[[#This Row],[Unit_Price]] - Tabla1[[#This Row],[Unit_Cost]] ) * Tabla1[[#This Row],[Quantity_Sold]]</f>
        <v>4174.5200000000004</v>
      </c>
      <c r="P329" s="12">
        <f>Tabla1[[#This Row],[Profit]] / Tabla1[[#This Row],[Sales_Calculated]]</f>
        <v>0.20724790792070952</v>
      </c>
      <c r="Q329" s="20">
        <f xml:space="preserve"> Tabla1[[#This Row],[Unit_Price]] * Tabla1[[#This Row],[Quantity_Sold]]</f>
        <v>20142.64</v>
      </c>
    </row>
    <row r="330" spans="1:17" x14ac:dyDescent="0.3">
      <c r="A330" s="2">
        <v>1033</v>
      </c>
      <c r="B330" s="1">
        <v>45249</v>
      </c>
      <c r="C330" s="8" t="s">
        <v>24</v>
      </c>
      <c r="D330" s="8" t="s">
        <v>15</v>
      </c>
      <c r="E330" s="6">
        <v>349.41</v>
      </c>
      <c r="F330" s="2">
        <v>37</v>
      </c>
      <c r="G330" s="8" t="s">
        <v>35</v>
      </c>
      <c r="H330" s="6">
        <v>2600.7600000000002</v>
      </c>
      <c r="I330" s="6">
        <v>2937.57</v>
      </c>
      <c r="J330" s="8" t="s">
        <v>30</v>
      </c>
      <c r="K330" s="12">
        <v>0.17</v>
      </c>
      <c r="L330" s="8" t="s">
        <v>31</v>
      </c>
      <c r="M330" s="8" t="s">
        <v>22</v>
      </c>
      <c r="N330" s="10" t="s">
        <v>45</v>
      </c>
      <c r="O330" s="17">
        <f xml:space="preserve"> (Tabla1[[#This Row],[Unit_Price]] - Tabla1[[#This Row],[Unit_Cost]] ) * Tabla1[[#This Row],[Quantity_Sold]]</f>
        <v>12461.969999999998</v>
      </c>
      <c r="P330" s="12">
        <f>Tabla1[[#This Row],[Profit]] / Tabla1[[#This Row],[Sales_Calculated]]</f>
        <v>0.11465599117638044</v>
      </c>
      <c r="Q330" s="20">
        <f xml:space="preserve"> Tabla1[[#This Row],[Unit_Price]] * Tabla1[[#This Row],[Quantity_Sold]]</f>
        <v>108690.09000000001</v>
      </c>
    </row>
    <row r="331" spans="1:17" x14ac:dyDescent="0.3">
      <c r="A331" s="2">
        <v>1014</v>
      </c>
      <c r="B331" s="1">
        <v>45181</v>
      </c>
      <c r="C331" s="8" t="s">
        <v>33</v>
      </c>
      <c r="D331" s="8" t="s">
        <v>34</v>
      </c>
      <c r="E331" s="6">
        <v>8406.07</v>
      </c>
      <c r="F331" s="2">
        <v>48</v>
      </c>
      <c r="G331" s="8" t="s">
        <v>16</v>
      </c>
      <c r="H331" s="6">
        <v>556.72</v>
      </c>
      <c r="I331" s="6">
        <v>665.07</v>
      </c>
      <c r="J331" s="8" t="s">
        <v>17</v>
      </c>
      <c r="K331" s="12">
        <v>0.01</v>
      </c>
      <c r="L331" s="8" t="s">
        <v>27</v>
      </c>
      <c r="M331" s="8" t="s">
        <v>22</v>
      </c>
      <c r="N331" s="10" t="s">
        <v>36</v>
      </c>
      <c r="O331" s="17">
        <f xml:space="preserve"> (Tabla1[[#This Row],[Unit_Price]] - Tabla1[[#This Row],[Unit_Cost]] ) * Tabla1[[#This Row],[Quantity_Sold]]</f>
        <v>5200.8000000000011</v>
      </c>
      <c r="P331" s="12">
        <f>Tabla1[[#This Row],[Profit]] / Tabla1[[#This Row],[Sales_Calculated]]</f>
        <v>0.16291518186055606</v>
      </c>
      <c r="Q331" s="20">
        <f xml:space="preserve"> Tabla1[[#This Row],[Unit_Price]] * Tabla1[[#This Row],[Quantity_Sold]]</f>
        <v>31923.360000000001</v>
      </c>
    </row>
    <row r="332" spans="1:17" x14ac:dyDescent="0.3">
      <c r="A332" s="2">
        <v>1021</v>
      </c>
      <c r="B332" s="1">
        <v>45254</v>
      </c>
      <c r="C332" s="8" t="s">
        <v>38</v>
      </c>
      <c r="D332" s="8" t="s">
        <v>15</v>
      </c>
      <c r="E332" s="6">
        <v>213.04</v>
      </c>
      <c r="F332" s="2">
        <v>15</v>
      </c>
      <c r="G332" s="8" t="s">
        <v>26</v>
      </c>
      <c r="H332" s="6">
        <v>3771.27</v>
      </c>
      <c r="I332" s="6">
        <v>4212.55</v>
      </c>
      <c r="J332" s="8" t="s">
        <v>17</v>
      </c>
      <c r="K332" s="12">
        <v>0.16</v>
      </c>
      <c r="L332" s="8" t="s">
        <v>31</v>
      </c>
      <c r="M332" s="8" t="s">
        <v>22</v>
      </c>
      <c r="N332" s="10" t="s">
        <v>40</v>
      </c>
      <c r="O332" s="17">
        <f xml:space="preserve"> (Tabla1[[#This Row],[Unit_Price]] - Tabla1[[#This Row],[Unit_Cost]] ) * Tabla1[[#This Row],[Quantity_Sold]]</f>
        <v>6619.2000000000025</v>
      </c>
      <c r="P332" s="12">
        <f>Tabla1[[#This Row],[Profit]] / Tabla1[[#This Row],[Sales_Calculated]]</f>
        <v>0.10475365277563475</v>
      </c>
      <c r="Q332" s="20">
        <f xml:space="preserve"> Tabla1[[#This Row],[Unit_Price]] * Tabla1[[#This Row],[Quantity_Sold]]</f>
        <v>63188.25</v>
      </c>
    </row>
    <row r="333" spans="1:17" x14ac:dyDescent="0.3">
      <c r="A333" s="2">
        <v>1048</v>
      </c>
      <c r="B333" s="1">
        <v>44980</v>
      </c>
      <c r="C333" s="8" t="s">
        <v>14</v>
      </c>
      <c r="D333" s="8" t="s">
        <v>21</v>
      </c>
      <c r="E333" s="6">
        <v>7066.63</v>
      </c>
      <c r="F333" s="2">
        <v>47</v>
      </c>
      <c r="G333" s="8" t="s">
        <v>26</v>
      </c>
      <c r="H333" s="6">
        <v>4535.8599999999997</v>
      </c>
      <c r="I333" s="6">
        <v>4641.41</v>
      </c>
      <c r="J333" s="8" t="s">
        <v>30</v>
      </c>
      <c r="K333" s="12">
        <v>0.27</v>
      </c>
      <c r="L333" s="8" t="s">
        <v>31</v>
      </c>
      <c r="M333" s="8" t="s">
        <v>22</v>
      </c>
      <c r="N333" s="10" t="s">
        <v>23</v>
      </c>
      <c r="O333" s="17">
        <f xml:space="preserve"> (Tabla1[[#This Row],[Unit_Price]] - Tabla1[[#This Row],[Unit_Cost]] ) * Tabla1[[#This Row],[Quantity_Sold]]</f>
        <v>4960.8500000000085</v>
      </c>
      <c r="P333" s="12">
        <f>Tabla1[[#This Row],[Profit]] / Tabla1[[#This Row],[Sales_Calculated]]</f>
        <v>2.2740934328146015E-2</v>
      </c>
      <c r="Q333" s="20">
        <f xml:space="preserve"> Tabla1[[#This Row],[Unit_Price]] * Tabla1[[#This Row],[Quantity_Sold]]</f>
        <v>218146.27</v>
      </c>
    </row>
    <row r="334" spans="1:17" x14ac:dyDescent="0.3">
      <c r="A334" s="2">
        <v>1020</v>
      </c>
      <c r="B334" s="1">
        <v>45175</v>
      </c>
      <c r="C334" s="8" t="s">
        <v>33</v>
      </c>
      <c r="D334" s="8" t="s">
        <v>34</v>
      </c>
      <c r="E334" s="6">
        <v>9705.5499999999993</v>
      </c>
      <c r="F334" s="2">
        <v>4</v>
      </c>
      <c r="G334" s="8" t="s">
        <v>29</v>
      </c>
      <c r="H334" s="6">
        <v>3730</v>
      </c>
      <c r="I334" s="6">
        <v>3893.6</v>
      </c>
      <c r="J334" s="8" t="s">
        <v>30</v>
      </c>
      <c r="K334" s="12">
        <v>0.25</v>
      </c>
      <c r="L334" s="8" t="s">
        <v>27</v>
      </c>
      <c r="M334" s="8" t="s">
        <v>22</v>
      </c>
      <c r="N334" s="10" t="s">
        <v>36</v>
      </c>
      <c r="O334" s="17">
        <f xml:space="preserve"> (Tabla1[[#This Row],[Unit_Price]] - Tabla1[[#This Row],[Unit_Cost]] ) * Tabla1[[#This Row],[Quantity_Sold]]</f>
        <v>654.39999999999964</v>
      </c>
      <c r="P334" s="12">
        <f>Tabla1[[#This Row],[Profit]] / Tabla1[[#This Row],[Sales_Calculated]]</f>
        <v>4.2017670022601171E-2</v>
      </c>
      <c r="Q334" s="20">
        <f xml:space="preserve"> Tabla1[[#This Row],[Unit_Price]] * Tabla1[[#This Row],[Quantity_Sold]]</f>
        <v>15574.4</v>
      </c>
    </row>
    <row r="335" spans="1:17" x14ac:dyDescent="0.3">
      <c r="A335" s="2">
        <v>1008</v>
      </c>
      <c r="B335" s="1">
        <v>45165</v>
      </c>
      <c r="C335" s="8" t="s">
        <v>24</v>
      </c>
      <c r="D335" s="8" t="s">
        <v>25</v>
      </c>
      <c r="E335" s="6">
        <v>4432.8500000000004</v>
      </c>
      <c r="F335" s="2">
        <v>40</v>
      </c>
      <c r="G335" s="8" t="s">
        <v>29</v>
      </c>
      <c r="H335" s="6">
        <v>2687.49</v>
      </c>
      <c r="I335" s="6">
        <v>3001.56</v>
      </c>
      <c r="J335" s="8" t="s">
        <v>17</v>
      </c>
      <c r="K335" s="12">
        <v>0.26</v>
      </c>
      <c r="L335" s="8" t="s">
        <v>27</v>
      </c>
      <c r="M335" s="8" t="s">
        <v>19</v>
      </c>
      <c r="N335" s="10" t="s">
        <v>28</v>
      </c>
      <c r="O335" s="17">
        <f xml:space="preserve"> (Tabla1[[#This Row],[Unit_Price]] - Tabla1[[#This Row],[Unit_Cost]] ) * Tabla1[[#This Row],[Quantity_Sold]]</f>
        <v>12562.800000000007</v>
      </c>
      <c r="P335" s="12">
        <f>Tabla1[[#This Row],[Profit]] / Tabla1[[#This Row],[Sales_Calculated]]</f>
        <v>0.10463558949346345</v>
      </c>
      <c r="Q335" s="20">
        <f xml:space="preserve"> Tabla1[[#This Row],[Unit_Price]] * Tabla1[[#This Row],[Quantity_Sold]]</f>
        <v>120062.39999999999</v>
      </c>
    </row>
    <row r="336" spans="1:17" x14ac:dyDescent="0.3">
      <c r="A336" s="2">
        <v>1007</v>
      </c>
      <c r="B336" s="1">
        <v>45155</v>
      </c>
      <c r="C336" s="8" t="s">
        <v>38</v>
      </c>
      <c r="D336" s="8" t="s">
        <v>34</v>
      </c>
      <c r="E336" s="6">
        <v>2426.2399999999998</v>
      </c>
      <c r="F336" s="2">
        <v>16</v>
      </c>
      <c r="G336" s="8" t="s">
        <v>16</v>
      </c>
      <c r="H336" s="6">
        <v>4310.3100000000004</v>
      </c>
      <c r="I336" s="6">
        <v>4633.1000000000004</v>
      </c>
      <c r="J336" s="8" t="s">
        <v>30</v>
      </c>
      <c r="K336" s="12">
        <v>0.28000000000000003</v>
      </c>
      <c r="L336" s="8" t="s">
        <v>31</v>
      </c>
      <c r="M336" s="8" t="s">
        <v>22</v>
      </c>
      <c r="N336" s="10" t="s">
        <v>48</v>
      </c>
      <c r="O336" s="17">
        <f xml:space="preserve"> (Tabla1[[#This Row],[Unit_Price]] - Tabla1[[#This Row],[Unit_Cost]] ) * Tabla1[[#This Row],[Quantity_Sold]]</f>
        <v>5164.6399999999994</v>
      </c>
      <c r="P336" s="12">
        <f>Tabla1[[#This Row],[Profit]] / Tabla1[[#This Row],[Sales_Calculated]]</f>
        <v>6.9670415056873353E-2</v>
      </c>
      <c r="Q336" s="20">
        <f xml:space="preserve"> Tabla1[[#This Row],[Unit_Price]] * Tabla1[[#This Row],[Quantity_Sold]]</f>
        <v>74129.600000000006</v>
      </c>
    </row>
    <row r="337" spans="1:17" x14ac:dyDescent="0.3">
      <c r="A337" s="2">
        <v>1067</v>
      </c>
      <c r="B337" s="1">
        <v>44993</v>
      </c>
      <c r="C337" s="8" t="s">
        <v>14</v>
      </c>
      <c r="D337" s="8" t="s">
        <v>34</v>
      </c>
      <c r="E337" s="6">
        <v>7078.22</v>
      </c>
      <c r="F337" s="2">
        <v>28</v>
      </c>
      <c r="G337" s="8" t="s">
        <v>35</v>
      </c>
      <c r="H337" s="6">
        <v>3489.85</v>
      </c>
      <c r="I337" s="6">
        <v>3842.5499999999902</v>
      </c>
      <c r="J337" s="8" t="s">
        <v>30</v>
      </c>
      <c r="K337" s="12">
        <v>0.03</v>
      </c>
      <c r="L337" s="8" t="s">
        <v>27</v>
      </c>
      <c r="M337" s="8" t="s">
        <v>19</v>
      </c>
      <c r="N337" s="10" t="s">
        <v>46</v>
      </c>
      <c r="O337" s="17">
        <f xml:space="preserve"> (Tabla1[[#This Row],[Unit_Price]] - Tabla1[[#This Row],[Unit_Cost]] ) * Tabla1[[#This Row],[Quantity_Sold]]</f>
        <v>9875.5999999997275</v>
      </c>
      <c r="P337" s="12">
        <f>Tabla1[[#This Row],[Profit]] / Tabla1[[#This Row],[Sales_Calculated]]</f>
        <v>9.1788005361020969E-2</v>
      </c>
      <c r="Q337" s="20">
        <f xml:space="preserve"> Tabla1[[#This Row],[Unit_Price]] * Tabla1[[#This Row],[Quantity_Sold]]</f>
        <v>107591.39999999973</v>
      </c>
    </row>
    <row r="338" spans="1:17" x14ac:dyDescent="0.3">
      <c r="A338" s="2">
        <v>1017</v>
      </c>
      <c r="B338" s="1">
        <v>44977</v>
      </c>
      <c r="C338" s="8" t="s">
        <v>33</v>
      </c>
      <c r="D338" s="8" t="s">
        <v>15</v>
      </c>
      <c r="E338" s="6">
        <v>8189.57</v>
      </c>
      <c r="F338" s="2">
        <v>16</v>
      </c>
      <c r="G338" s="8" t="s">
        <v>16</v>
      </c>
      <c r="H338" s="6">
        <v>102.23</v>
      </c>
      <c r="I338" s="6">
        <v>167.12</v>
      </c>
      <c r="J338" s="8" t="s">
        <v>30</v>
      </c>
      <c r="K338" s="12">
        <v>0.04</v>
      </c>
      <c r="L338" s="8" t="s">
        <v>31</v>
      </c>
      <c r="M338" s="8" t="s">
        <v>22</v>
      </c>
      <c r="N338" s="10" t="s">
        <v>53</v>
      </c>
      <c r="O338" s="17">
        <f xml:space="preserve"> (Tabla1[[#This Row],[Unit_Price]] - Tabla1[[#This Row],[Unit_Cost]] ) * Tabla1[[#This Row],[Quantity_Sold]]</f>
        <v>1038.24</v>
      </c>
      <c r="P338" s="12">
        <f>Tabla1[[#This Row],[Profit]] / Tabla1[[#This Row],[Sales_Calculated]]</f>
        <v>0.38828386787936814</v>
      </c>
      <c r="Q338" s="20">
        <f xml:space="preserve"> Tabla1[[#This Row],[Unit_Price]] * Tabla1[[#This Row],[Quantity_Sold]]</f>
        <v>2673.92</v>
      </c>
    </row>
    <row r="339" spans="1:17" x14ac:dyDescent="0.3">
      <c r="A339" s="2">
        <v>1033</v>
      </c>
      <c r="B339" s="1">
        <v>45023</v>
      </c>
      <c r="C339" s="8" t="s">
        <v>14</v>
      </c>
      <c r="D339" s="8" t="s">
        <v>34</v>
      </c>
      <c r="E339" s="6">
        <v>5509.66</v>
      </c>
      <c r="F339" s="2">
        <v>4</v>
      </c>
      <c r="G339" s="8" t="s">
        <v>26</v>
      </c>
      <c r="H339" s="6">
        <v>2000.75</v>
      </c>
      <c r="I339" s="6">
        <v>2426.9899999999998</v>
      </c>
      <c r="J339" s="8" t="s">
        <v>17</v>
      </c>
      <c r="K339" s="12">
        <v>0.17</v>
      </c>
      <c r="L339" s="8" t="s">
        <v>27</v>
      </c>
      <c r="M339" s="8" t="s">
        <v>19</v>
      </c>
      <c r="N339" s="10" t="s">
        <v>46</v>
      </c>
      <c r="O339" s="17">
        <f xml:space="preserve"> (Tabla1[[#This Row],[Unit_Price]] - Tabla1[[#This Row],[Unit_Cost]] ) * Tabla1[[#This Row],[Quantity_Sold]]</f>
        <v>1704.9599999999991</v>
      </c>
      <c r="P339" s="12">
        <f>Tabla1[[#This Row],[Profit]] / Tabla1[[#This Row],[Sales_Calculated]]</f>
        <v>0.17562495107107975</v>
      </c>
      <c r="Q339" s="20">
        <f xml:space="preserve"> Tabla1[[#This Row],[Unit_Price]] * Tabla1[[#This Row],[Quantity_Sold]]</f>
        <v>9707.9599999999991</v>
      </c>
    </row>
    <row r="340" spans="1:17" x14ac:dyDescent="0.3">
      <c r="A340" s="2">
        <v>1048</v>
      </c>
      <c r="B340" s="1">
        <v>45018</v>
      </c>
      <c r="C340" s="8" t="s">
        <v>24</v>
      </c>
      <c r="D340" s="8" t="s">
        <v>25</v>
      </c>
      <c r="E340" s="6">
        <v>9673.65</v>
      </c>
      <c r="F340" s="2">
        <v>45</v>
      </c>
      <c r="G340" s="8" t="s">
        <v>35</v>
      </c>
      <c r="H340" s="6">
        <v>4262.21</v>
      </c>
      <c r="I340" s="6">
        <v>4533.3100000000004</v>
      </c>
      <c r="J340" s="8" t="s">
        <v>17</v>
      </c>
      <c r="K340" s="12">
        <v>0.27</v>
      </c>
      <c r="L340" s="8" t="s">
        <v>31</v>
      </c>
      <c r="M340" s="8" t="s">
        <v>19</v>
      </c>
      <c r="N340" s="10" t="s">
        <v>28</v>
      </c>
      <c r="O340" s="17">
        <f xml:space="preserve"> (Tabla1[[#This Row],[Unit_Price]] - Tabla1[[#This Row],[Unit_Cost]] ) * Tabla1[[#This Row],[Quantity_Sold]]</f>
        <v>12199.500000000016</v>
      </c>
      <c r="P340" s="12">
        <f>Tabla1[[#This Row],[Profit]] / Tabla1[[#This Row],[Sales_Calculated]]</f>
        <v>5.9801778391506501E-2</v>
      </c>
      <c r="Q340" s="20">
        <f xml:space="preserve"> Tabla1[[#This Row],[Unit_Price]] * Tabla1[[#This Row],[Quantity_Sold]]</f>
        <v>203998.95</v>
      </c>
    </row>
    <row r="341" spans="1:17" x14ac:dyDescent="0.3">
      <c r="A341" s="2">
        <v>1076</v>
      </c>
      <c r="B341" s="1">
        <v>45190</v>
      </c>
      <c r="C341" s="8" t="s">
        <v>14</v>
      </c>
      <c r="D341" s="8" t="s">
        <v>15</v>
      </c>
      <c r="E341" s="6">
        <v>611.52</v>
      </c>
      <c r="F341" s="2">
        <v>26</v>
      </c>
      <c r="G341" s="8" t="s">
        <v>35</v>
      </c>
      <c r="H341" s="6">
        <v>1762</v>
      </c>
      <c r="I341" s="6">
        <v>2002.95</v>
      </c>
      <c r="J341" s="8" t="s">
        <v>17</v>
      </c>
      <c r="K341" s="12">
        <v>0.28999999999999998</v>
      </c>
      <c r="L341" s="8" t="s">
        <v>31</v>
      </c>
      <c r="M341" s="8" t="s">
        <v>22</v>
      </c>
      <c r="N341" s="10" t="s">
        <v>20</v>
      </c>
      <c r="O341" s="17">
        <f xml:space="preserve"> (Tabla1[[#This Row],[Unit_Price]] - Tabla1[[#This Row],[Unit_Cost]] ) * Tabla1[[#This Row],[Quantity_Sold]]</f>
        <v>6264.7000000000007</v>
      </c>
      <c r="P341" s="12">
        <f>Tabla1[[#This Row],[Profit]] / Tabla1[[#This Row],[Sales_Calculated]]</f>
        <v>0.12029756109738136</v>
      </c>
      <c r="Q341" s="20">
        <f xml:space="preserve"> Tabla1[[#This Row],[Unit_Price]] * Tabla1[[#This Row],[Quantity_Sold]]</f>
        <v>52076.700000000004</v>
      </c>
    </row>
    <row r="342" spans="1:17" x14ac:dyDescent="0.3">
      <c r="A342" s="2">
        <v>1059</v>
      </c>
      <c r="B342" s="1">
        <v>45217</v>
      </c>
      <c r="C342" s="8" t="s">
        <v>42</v>
      </c>
      <c r="D342" s="8" t="s">
        <v>15</v>
      </c>
      <c r="E342" s="6">
        <v>5097.4799999999996</v>
      </c>
      <c r="F342" s="2">
        <v>28</v>
      </c>
      <c r="G342" s="8" t="s">
        <v>35</v>
      </c>
      <c r="H342" s="6">
        <v>224.32</v>
      </c>
      <c r="I342" s="6">
        <v>715.06</v>
      </c>
      <c r="J342" s="8" t="s">
        <v>17</v>
      </c>
      <c r="K342" s="12">
        <v>0.01</v>
      </c>
      <c r="L342" s="8" t="s">
        <v>31</v>
      </c>
      <c r="M342" s="8" t="s">
        <v>19</v>
      </c>
      <c r="N342" s="10" t="s">
        <v>49</v>
      </c>
      <c r="O342" s="17">
        <f xml:space="preserve"> (Tabla1[[#This Row],[Unit_Price]] - Tabla1[[#This Row],[Unit_Cost]] ) * Tabla1[[#This Row],[Quantity_Sold]]</f>
        <v>13740.72</v>
      </c>
      <c r="P342" s="12">
        <f>Tabla1[[#This Row],[Profit]] / Tabla1[[#This Row],[Sales_Calculated]]</f>
        <v>0.68629205940760207</v>
      </c>
      <c r="Q342" s="20">
        <f xml:space="preserve"> Tabla1[[#This Row],[Unit_Price]] * Tabla1[[#This Row],[Quantity_Sold]]</f>
        <v>20021.68</v>
      </c>
    </row>
    <row r="343" spans="1:17" x14ac:dyDescent="0.3">
      <c r="A343" s="2">
        <v>1086</v>
      </c>
      <c r="B343" s="1">
        <v>45022</v>
      </c>
      <c r="C343" s="8" t="s">
        <v>33</v>
      </c>
      <c r="D343" s="8" t="s">
        <v>21</v>
      </c>
      <c r="E343" s="6">
        <v>7212.69</v>
      </c>
      <c r="F343" s="2">
        <v>32</v>
      </c>
      <c r="G343" s="8" t="s">
        <v>35</v>
      </c>
      <c r="H343" s="6">
        <v>3743.59</v>
      </c>
      <c r="I343" s="6">
        <v>4116.38</v>
      </c>
      <c r="J343" s="8" t="s">
        <v>17</v>
      </c>
      <c r="K343" s="12">
        <v>0.11</v>
      </c>
      <c r="L343" s="8" t="s">
        <v>18</v>
      </c>
      <c r="M343" s="8" t="s">
        <v>19</v>
      </c>
      <c r="N343" s="10" t="s">
        <v>37</v>
      </c>
      <c r="O343" s="17">
        <f xml:space="preserve"> (Tabla1[[#This Row],[Unit_Price]] - Tabla1[[#This Row],[Unit_Cost]] ) * Tabla1[[#This Row],[Quantity_Sold]]</f>
        <v>11929.279999999999</v>
      </c>
      <c r="P343" s="12">
        <f>Tabla1[[#This Row],[Profit]] / Tabla1[[#This Row],[Sales_Calculated]]</f>
        <v>9.0562581685850171E-2</v>
      </c>
      <c r="Q343" s="20">
        <f xml:space="preserve"> Tabla1[[#This Row],[Unit_Price]] * Tabla1[[#This Row],[Quantity_Sold]]</f>
        <v>131724.16</v>
      </c>
    </row>
    <row r="344" spans="1:17" x14ac:dyDescent="0.3">
      <c r="A344" s="2">
        <v>1022</v>
      </c>
      <c r="B344" s="1">
        <v>45014</v>
      </c>
      <c r="C344" s="8" t="s">
        <v>14</v>
      </c>
      <c r="D344" s="8" t="s">
        <v>21</v>
      </c>
      <c r="E344" s="6">
        <v>8640.14</v>
      </c>
      <c r="F344" s="2">
        <v>45</v>
      </c>
      <c r="G344" s="8" t="s">
        <v>16</v>
      </c>
      <c r="H344" s="6">
        <v>4020.09</v>
      </c>
      <c r="I344" s="6">
        <v>4087.91</v>
      </c>
      <c r="J344" s="8" t="s">
        <v>17</v>
      </c>
      <c r="K344" s="12">
        <v>0.06</v>
      </c>
      <c r="L344" s="8" t="s">
        <v>27</v>
      </c>
      <c r="M344" s="8" t="s">
        <v>19</v>
      </c>
      <c r="N344" s="10" t="s">
        <v>23</v>
      </c>
      <c r="O344" s="17">
        <f xml:space="preserve"> (Tabla1[[#This Row],[Unit_Price]] - Tabla1[[#This Row],[Unit_Cost]] ) * Tabla1[[#This Row],[Quantity_Sold]]</f>
        <v>3051.8999999999869</v>
      </c>
      <c r="P344" s="12">
        <f>Tabla1[[#This Row],[Profit]] / Tabla1[[#This Row],[Sales_Calculated]]</f>
        <v>1.6590384817669595E-2</v>
      </c>
      <c r="Q344" s="20">
        <f xml:space="preserve"> Tabla1[[#This Row],[Unit_Price]] * Tabla1[[#This Row],[Quantity_Sold]]</f>
        <v>183955.94999999998</v>
      </c>
    </row>
    <row r="345" spans="1:17" x14ac:dyDescent="0.3">
      <c r="A345" s="2">
        <v>1030</v>
      </c>
      <c r="B345" s="1">
        <v>45004</v>
      </c>
      <c r="C345" s="8" t="s">
        <v>24</v>
      </c>
      <c r="D345" s="8" t="s">
        <v>34</v>
      </c>
      <c r="E345" s="6">
        <v>1874.63</v>
      </c>
      <c r="F345" s="2">
        <v>2</v>
      </c>
      <c r="G345" s="8" t="s">
        <v>29</v>
      </c>
      <c r="H345" s="6">
        <v>844.94</v>
      </c>
      <c r="I345" s="6">
        <v>1225.6400000000001</v>
      </c>
      <c r="J345" s="8" t="s">
        <v>17</v>
      </c>
      <c r="K345" s="12">
        <v>0.23</v>
      </c>
      <c r="L345" s="8" t="s">
        <v>31</v>
      </c>
      <c r="M345" s="8" t="s">
        <v>19</v>
      </c>
      <c r="N345" s="10" t="s">
        <v>50</v>
      </c>
      <c r="O345" s="17">
        <f xml:space="preserve"> (Tabla1[[#This Row],[Unit_Price]] - Tabla1[[#This Row],[Unit_Cost]] ) * Tabla1[[#This Row],[Quantity_Sold]]</f>
        <v>761.40000000000009</v>
      </c>
      <c r="P345" s="12">
        <f>Tabla1[[#This Row],[Profit]] / Tabla1[[#This Row],[Sales_Calculated]]</f>
        <v>0.31061323063868673</v>
      </c>
      <c r="Q345" s="20">
        <f xml:space="preserve"> Tabla1[[#This Row],[Unit_Price]] * Tabla1[[#This Row],[Quantity_Sold]]</f>
        <v>2451.2800000000002</v>
      </c>
    </row>
    <row r="346" spans="1:17" x14ac:dyDescent="0.3">
      <c r="A346" s="2">
        <v>1038</v>
      </c>
      <c r="B346" s="1">
        <v>45214</v>
      </c>
      <c r="C346" s="8" t="s">
        <v>24</v>
      </c>
      <c r="D346" s="8" t="s">
        <v>21</v>
      </c>
      <c r="E346" s="6">
        <v>8020.03</v>
      </c>
      <c r="F346" s="2">
        <v>31</v>
      </c>
      <c r="G346" s="8" t="s">
        <v>29</v>
      </c>
      <c r="H346" s="6">
        <v>2709.84</v>
      </c>
      <c r="I346" s="6">
        <v>2766.51</v>
      </c>
      <c r="J346" s="8" t="s">
        <v>30</v>
      </c>
      <c r="K346" s="12">
        <v>0.19</v>
      </c>
      <c r="L346" s="8" t="s">
        <v>18</v>
      </c>
      <c r="M346" s="8" t="s">
        <v>22</v>
      </c>
      <c r="N346" s="10" t="s">
        <v>47</v>
      </c>
      <c r="O346" s="17">
        <f xml:space="preserve"> (Tabla1[[#This Row],[Unit_Price]] - Tabla1[[#This Row],[Unit_Cost]] ) * Tabla1[[#This Row],[Quantity_Sold]]</f>
        <v>1756.7700000000023</v>
      </c>
      <c r="P346" s="12">
        <f>Tabla1[[#This Row],[Profit]] / Tabla1[[#This Row],[Sales_Calculated]]</f>
        <v>2.0484292484032253E-2</v>
      </c>
      <c r="Q346" s="20">
        <f xml:space="preserve"> Tabla1[[#This Row],[Unit_Price]] * Tabla1[[#This Row],[Quantity_Sold]]</f>
        <v>85761.810000000012</v>
      </c>
    </row>
    <row r="347" spans="1:17" x14ac:dyDescent="0.3">
      <c r="A347" s="2">
        <v>1051</v>
      </c>
      <c r="B347" s="1">
        <v>45046</v>
      </c>
      <c r="C347" s="8" t="s">
        <v>14</v>
      </c>
      <c r="D347" s="8" t="s">
        <v>21</v>
      </c>
      <c r="E347" s="6">
        <v>5571.8</v>
      </c>
      <c r="F347" s="2">
        <v>3</v>
      </c>
      <c r="G347" s="8" t="s">
        <v>26</v>
      </c>
      <c r="H347" s="6">
        <v>1000.18</v>
      </c>
      <c r="I347" s="6">
        <v>1023.64</v>
      </c>
      <c r="J347" s="8" t="s">
        <v>17</v>
      </c>
      <c r="K347" s="12">
        <v>0.04</v>
      </c>
      <c r="L347" s="8" t="s">
        <v>31</v>
      </c>
      <c r="M347" s="8" t="s">
        <v>19</v>
      </c>
      <c r="N347" s="10" t="s">
        <v>23</v>
      </c>
      <c r="O347" s="17">
        <f xml:space="preserve"> (Tabla1[[#This Row],[Unit_Price]] - Tabla1[[#This Row],[Unit_Cost]] ) * Tabla1[[#This Row],[Quantity_Sold]]</f>
        <v>70.380000000000109</v>
      </c>
      <c r="P347" s="12">
        <f>Tabla1[[#This Row],[Profit]] / Tabla1[[#This Row],[Sales_Calculated]]</f>
        <v>2.291821343441057E-2</v>
      </c>
      <c r="Q347" s="20">
        <f xml:space="preserve"> Tabla1[[#This Row],[Unit_Price]] * Tabla1[[#This Row],[Quantity_Sold]]</f>
        <v>3070.92</v>
      </c>
    </row>
    <row r="348" spans="1:17" x14ac:dyDescent="0.3">
      <c r="A348" s="2">
        <v>1054</v>
      </c>
      <c r="B348" s="1">
        <v>45228</v>
      </c>
      <c r="C348" s="8" t="s">
        <v>24</v>
      </c>
      <c r="D348" s="8" t="s">
        <v>21</v>
      </c>
      <c r="E348" s="6">
        <v>4025.88</v>
      </c>
      <c r="F348" s="2">
        <v>8</v>
      </c>
      <c r="G348" s="8" t="s">
        <v>29</v>
      </c>
      <c r="H348" s="6">
        <v>3610.21</v>
      </c>
      <c r="I348" s="6">
        <v>3817.99</v>
      </c>
      <c r="J348" s="8" t="s">
        <v>17</v>
      </c>
      <c r="K348" s="12">
        <v>0.15</v>
      </c>
      <c r="L348" s="8" t="s">
        <v>18</v>
      </c>
      <c r="M348" s="8" t="s">
        <v>22</v>
      </c>
      <c r="N348" s="10" t="s">
        <v>47</v>
      </c>
      <c r="O348" s="17">
        <f xml:space="preserve"> (Tabla1[[#This Row],[Unit_Price]] - Tabla1[[#This Row],[Unit_Cost]] ) * Tabla1[[#This Row],[Quantity_Sold]]</f>
        <v>1662.239999999998</v>
      </c>
      <c r="P348" s="12">
        <f>Tabla1[[#This Row],[Profit]] / Tabla1[[#This Row],[Sales_Calculated]]</f>
        <v>5.4421305451297607E-2</v>
      </c>
      <c r="Q348" s="20">
        <f xml:space="preserve"> Tabla1[[#This Row],[Unit_Price]] * Tabla1[[#This Row],[Quantity_Sold]]</f>
        <v>30543.919999999998</v>
      </c>
    </row>
    <row r="349" spans="1:17" x14ac:dyDescent="0.3">
      <c r="A349" s="2">
        <v>1008</v>
      </c>
      <c r="B349" s="1">
        <v>45091</v>
      </c>
      <c r="C349" s="8" t="s">
        <v>38</v>
      </c>
      <c r="D349" s="8" t="s">
        <v>15</v>
      </c>
      <c r="E349" s="6">
        <v>1403.98</v>
      </c>
      <c r="F349" s="2">
        <v>24</v>
      </c>
      <c r="G349" s="8" t="s">
        <v>29</v>
      </c>
      <c r="H349" s="6">
        <v>1394.17</v>
      </c>
      <c r="I349" s="6">
        <v>1891.02</v>
      </c>
      <c r="J349" s="8" t="s">
        <v>30</v>
      </c>
      <c r="K349" s="12">
        <v>0.21</v>
      </c>
      <c r="L349" s="8" t="s">
        <v>31</v>
      </c>
      <c r="M349" s="8" t="s">
        <v>19</v>
      </c>
      <c r="N349" s="10" t="s">
        <v>40</v>
      </c>
      <c r="O349" s="17">
        <f xml:space="preserve"> (Tabla1[[#This Row],[Unit_Price]] - Tabla1[[#This Row],[Unit_Cost]] ) * Tabla1[[#This Row],[Quantity_Sold]]</f>
        <v>11924.399999999998</v>
      </c>
      <c r="P349" s="12">
        <f>Tabla1[[#This Row],[Profit]] / Tabla1[[#This Row],[Sales_Calculated]]</f>
        <v>0.26274180072130382</v>
      </c>
      <c r="Q349" s="20">
        <f xml:space="preserve"> Tabla1[[#This Row],[Unit_Price]] * Tabla1[[#This Row],[Quantity_Sold]]</f>
        <v>45384.479999999996</v>
      </c>
    </row>
    <row r="350" spans="1:17" x14ac:dyDescent="0.3">
      <c r="A350" s="2">
        <v>1027</v>
      </c>
      <c r="B350" s="1">
        <v>45108</v>
      </c>
      <c r="C350" s="8" t="s">
        <v>38</v>
      </c>
      <c r="D350" s="8" t="s">
        <v>15</v>
      </c>
      <c r="E350" s="6">
        <v>8666.43</v>
      </c>
      <c r="F350" s="2">
        <v>15</v>
      </c>
      <c r="G350" s="8" t="s">
        <v>29</v>
      </c>
      <c r="H350" s="6">
        <v>1615.26</v>
      </c>
      <c r="I350" s="6">
        <v>1710.95</v>
      </c>
      <c r="J350" s="8" t="s">
        <v>30</v>
      </c>
      <c r="K350" s="12">
        <v>0.23</v>
      </c>
      <c r="L350" s="8" t="s">
        <v>31</v>
      </c>
      <c r="M350" s="8" t="s">
        <v>22</v>
      </c>
      <c r="N350" s="10" t="s">
        <v>40</v>
      </c>
      <c r="O350" s="17">
        <f xml:space="preserve"> (Tabla1[[#This Row],[Unit_Price]] - Tabla1[[#This Row],[Unit_Cost]] ) * Tabla1[[#This Row],[Quantity_Sold]]</f>
        <v>1435.3500000000008</v>
      </c>
      <c r="P350" s="12">
        <f>Tabla1[[#This Row],[Profit]] / Tabla1[[#This Row],[Sales_Calculated]]</f>
        <v>5.5927993220140887E-2</v>
      </c>
      <c r="Q350" s="20">
        <f xml:space="preserve"> Tabla1[[#This Row],[Unit_Price]] * Tabla1[[#This Row],[Quantity_Sold]]</f>
        <v>25664.25</v>
      </c>
    </row>
    <row r="351" spans="1:17" x14ac:dyDescent="0.3">
      <c r="A351" s="2">
        <v>1027</v>
      </c>
      <c r="B351" s="1">
        <v>45149</v>
      </c>
      <c r="C351" s="8" t="s">
        <v>38</v>
      </c>
      <c r="D351" s="8" t="s">
        <v>15</v>
      </c>
      <c r="E351" s="6">
        <v>1657</v>
      </c>
      <c r="F351" s="2">
        <v>43</v>
      </c>
      <c r="G351" s="8" t="s">
        <v>29</v>
      </c>
      <c r="H351" s="6">
        <v>4232.6099999999997</v>
      </c>
      <c r="I351" s="6">
        <v>4572.21</v>
      </c>
      <c r="J351" s="8" t="s">
        <v>30</v>
      </c>
      <c r="K351" s="12">
        <v>0.01</v>
      </c>
      <c r="L351" s="8" t="s">
        <v>18</v>
      </c>
      <c r="M351" s="8" t="s">
        <v>22</v>
      </c>
      <c r="N351" s="10" t="s">
        <v>40</v>
      </c>
      <c r="O351" s="17">
        <f xml:space="preserve"> (Tabla1[[#This Row],[Unit_Price]] - Tabla1[[#This Row],[Unit_Cost]] ) * Tabla1[[#This Row],[Quantity_Sold]]</f>
        <v>14602.800000000016</v>
      </c>
      <c r="P351" s="12">
        <f>Tabla1[[#This Row],[Profit]] / Tabla1[[#This Row],[Sales_Calculated]]</f>
        <v>7.4274803650751023E-2</v>
      </c>
      <c r="Q351" s="20">
        <f xml:space="preserve"> Tabla1[[#This Row],[Unit_Price]] * Tabla1[[#This Row],[Quantity_Sold]]</f>
        <v>196605.03</v>
      </c>
    </row>
    <row r="352" spans="1:17" x14ac:dyDescent="0.3">
      <c r="A352" s="2">
        <v>1098</v>
      </c>
      <c r="B352" s="1">
        <v>45237</v>
      </c>
      <c r="C352" s="8" t="s">
        <v>42</v>
      </c>
      <c r="D352" s="8" t="s">
        <v>21</v>
      </c>
      <c r="E352" s="6">
        <v>3166.9</v>
      </c>
      <c r="F352" s="2">
        <v>31</v>
      </c>
      <c r="G352" s="8" t="s">
        <v>26</v>
      </c>
      <c r="H352" s="6">
        <v>2407.8000000000002</v>
      </c>
      <c r="I352" s="6">
        <v>2502.7600000000002</v>
      </c>
      <c r="J352" s="8" t="s">
        <v>17</v>
      </c>
      <c r="K352" s="12">
        <v>0.27</v>
      </c>
      <c r="L352" s="8" t="s">
        <v>18</v>
      </c>
      <c r="M352" s="8" t="s">
        <v>22</v>
      </c>
      <c r="N352" s="10" t="s">
        <v>51</v>
      </c>
      <c r="O352" s="17">
        <f xml:space="preserve"> (Tabla1[[#This Row],[Unit_Price]] - Tabla1[[#This Row],[Unit_Cost]] ) * Tabla1[[#This Row],[Quantity_Sold]]</f>
        <v>2943.7600000000011</v>
      </c>
      <c r="P352" s="12">
        <f>Tabla1[[#This Row],[Profit]] / Tabla1[[#This Row],[Sales_Calculated]]</f>
        <v>3.7942111908453077E-2</v>
      </c>
      <c r="Q352" s="20">
        <f xml:space="preserve"> Tabla1[[#This Row],[Unit_Price]] * Tabla1[[#This Row],[Quantity_Sold]]</f>
        <v>77585.560000000012</v>
      </c>
    </row>
    <row r="353" spans="1:17" x14ac:dyDescent="0.3">
      <c r="A353" s="2">
        <v>1021</v>
      </c>
      <c r="B353" s="1">
        <v>44933</v>
      </c>
      <c r="C353" s="8" t="s">
        <v>14</v>
      </c>
      <c r="D353" s="8" t="s">
        <v>15</v>
      </c>
      <c r="E353" s="6">
        <v>2971.45</v>
      </c>
      <c r="F353" s="2">
        <v>9</v>
      </c>
      <c r="G353" s="8" t="s">
        <v>16</v>
      </c>
      <c r="H353" s="6">
        <v>3365.28</v>
      </c>
      <c r="I353" s="6">
        <v>3730.43</v>
      </c>
      <c r="J353" s="8" t="s">
        <v>30</v>
      </c>
      <c r="K353" s="12">
        <v>0.17</v>
      </c>
      <c r="L353" s="8" t="s">
        <v>27</v>
      </c>
      <c r="M353" s="8" t="s">
        <v>19</v>
      </c>
      <c r="N353" s="10" t="s">
        <v>20</v>
      </c>
      <c r="O353" s="17">
        <f xml:space="preserve"> (Tabla1[[#This Row],[Unit_Price]] - Tabla1[[#This Row],[Unit_Cost]] ) * Tabla1[[#This Row],[Quantity_Sold]]</f>
        <v>3286.3499999999967</v>
      </c>
      <c r="P353" s="12">
        <f>Tabla1[[#This Row],[Profit]] / Tabla1[[#This Row],[Sales_Calculated]]</f>
        <v>9.7884158126542969E-2</v>
      </c>
      <c r="Q353" s="20">
        <f xml:space="preserve"> Tabla1[[#This Row],[Unit_Price]] * Tabla1[[#This Row],[Quantity_Sold]]</f>
        <v>33573.869999999995</v>
      </c>
    </row>
    <row r="354" spans="1:17" x14ac:dyDescent="0.3">
      <c r="A354" s="2">
        <v>1030</v>
      </c>
      <c r="B354" s="1">
        <v>45256</v>
      </c>
      <c r="C354" s="8" t="s">
        <v>42</v>
      </c>
      <c r="D354" s="8" t="s">
        <v>21</v>
      </c>
      <c r="E354" s="6">
        <v>8727</v>
      </c>
      <c r="F354" s="2">
        <v>39</v>
      </c>
      <c r="G354" s="8" t="s">
        <v>35</v>
      </c>
      <c r="H354" s="6">
        <v>2041.75</v>
      </c>
      <c r="I354" s="6">
        <v>2299.37</v>
      </c>
      <c r="J354" s="8" t="s">
        <v>17</v>
      </c>
      <c r="K354" s="12">
        <v>0.24</v>
      </c>
      <c r="L354" s="8" t="s">
        <v>27</v>
      </c>
      <c r="M354" s="8" t="s">
        <v>22</v>
      </c>
      <c r="N354" s="10" t="s">
        <v>51</v>
      </c>
      <c r="O354" s="17">
        <f xml:space="preserve"> (Tabla1[[#This Row],[Unit_Price]] - Tabla1[[#This Row],[Unit_Cost]] ) * Tabla1[[#This Row],[Quantity_Sold]]</f>
        <v>10047.179999999997</v>
      </c>
      <c r="P354" s="12">
        <f>Tabla1[[#This Row],[Profit]] / Tabla1[[#This Row],[Sales_Calculated]]</f>
        <v>0.11203938470102677</v>
      </c>
      <c r="Q354" s="20">
        <f xml:space="preserve"> Tabla1[[#This Row],[Unit_Price]] * Tabla1[[#This Row],[Quantity_Sold]]</f>
        <v>89675.43</v>
      </c>
    </row>
    <row r="355" spans="1:17" x14ac:dyDescent="0.3">
      <c r="A355" s="2">
        <v>1097</v>
      </c>
      <c r="B355" s="1">
        <v>45189</v>
      </c>
      <c r="C355" s="8" t="s">
        <v>24</v>
      </c>
      <c r="D355" s="8" t="s">
        <v>15</v>
      </c>
      <c r="E355" s="6">
        <v>6759.76</v>
      </c>
      <c r="F355" s="2">
        <v>45</v>
      </c>
      <c r="G355" s="8" t="s">
        <v>29</v>
      </c>
      <c r="H355" s="6">
        <v>1525.13</v>
      </c>
      <c r="I355" s="6">
        <v>1868.32</v>
      </c>
      <c r="J355" s="8" t="s">
        <v>17</v>
      </c>
      <c r="K355" s="12">
        <v>0.24</v>
      </c>
      <c r="L355" s="8" t="s">
        <v>18</v>
      </c>
      <c r="M355" s="8" t="s">
        <v>22</v>
      </c>
      <c r="N355" s="10" t="s">
        <v>45</v>
      </c>
      <c r="O355" s="17">
        <f xml:space="preserve"> (Tabla1[[#This Row],[Unit_Price]] - Tabla1[[#This Row],[Unit_Cost]] ) * Tabla1[[#This Row],[Quantity_Sold]]</f>
        <v>15443.549999999992</v>
      </c>
      <c r="P355" s="12">
        <f>Tabla1[[#This Row],[Profit]] / Tabla1[[#This Row],[Sales_Calculated]]</f>
        <v>0.18368908966344086</v>
      </c>
      <c r="Q355" s="20">
        <f xml:space="preserve"> Tabla1[[#This Row],[Unit_Price]] * Tabla1[[#This Row],[Quantity_Sold]]</f>
        <v>84074.4</v>
      </c>
    </row>
    <row r="356" spans="1:17" x14ac:dyDescent="0.3">
      <c r="A356" s="2">
        <v>1028</v>
      </c>
      <c r="B356" s="1">
        <v>45087</v>
      </c>
      <c r="C356" s="8" t="s">
        <v>42</v>
      </c>
      <c r="D356" s="8" t="s">
        <v>15</v>
      </c>
      <c r="E356" s="6">
        <v>7987.15</v>
      </c>
      <c r="F356" s="2">
        <v>2</v>
      </c>
      <c r="G356" s="8" t="s">
        <v>16</v>
      </c>
      <c r="H356" s="6">
        <v>3146.12</v>
      </c>
      <c r="I356" s="6">
        <v>3255.5299999999902</v>
      </c>
      <c r="J356" s="8" t="s">
        <v>17</v>
      </c>
      <c r="K356" s="12">
        <v>0.06</v>
      </c>
      <c r="L356" s="8" t="s">
        <v>27</v>
      </c>
      <c r="M356" s="8" t="s">
        <v>19</v>
      </c>
      <c r="N356" s="10" t="s">
        <v>49</v>
      </c>
      <c r="O356" s="17">
        <f xml:space="preserve"> (Tabla1[[#This Row],[Unit_Price]] - Tabla1[[#This Row],[Unit_Cost]] ) * Tabla1[[#This Row],[Quantity_Sold]]</f>
        <v>218.81999999998061</v>
      </c>
      <c r="P356" s="12">
        <f>Tabla1[[#This Row],[Profit]] / Tabla1[[#This Row],[Sales_Calculated]]</f>
        <v>3.3607431048090677E-2</v>
      </c>
      <c r="Q356" s="20">
        <f xml:space="preserve"> Tabla1[[#This Row],[Unit_Price]] * Tabla1[[#This Row],[Quantity_Sold]]</f>
        <v>6511.0599999999804</v>
      </c>
    </row>
    <row r="357" spans="1:17" x14ac:dyDescent="0.3">
      <c r="A357" s="2">
        <v>1064</v>
      </c>
      <c r="B357" s="1">
        <v>45077</v>
      </c>
      <c r="C357" s="8" t="s">
        <v>24</v>
      </c>
      <c r="D357" s="8" t="s">
        <v>25</v>
      </c>
      <c r="E357" s="6">
        <v>2579.63</v>
      </c>
      <c r="F357" s="2">
        <v>8</v>
      </c>
      <c r="G357" s="8" t="s">
        <v>29</v>
      </c>
      <c r="H357" s="6">
        <v>816.54</v>
      </c>
      <c r="I357" s="6">
        <v>1191.9000000000001</v>
      </c>
      <c r="J357" s="8" t="s">
        <v>30</v>
      </c>
      <c r="K357" s="12">
        <v>0.03</v>
      </c>
      <c r="L357" s="8" t="s">
        <v>18</v>
      </c>
      <c r="M357" s="8" t="s">
        <v>22</v>
      </c>
      <c r="N357" s="10" t="s">
        <v>28</v>
      </c>
      <c r="O357" s="17">
        <f xml:space="preserve"> (Tabla1[[#This Row],[Unit_Price]] - Tabla1[[#This Row],[Unit_Cost]] ) * Tabla1[[#This Row],[Quantity_Sold]]</f>
        <v>3002.880000000001</v>
      </c>
      <c r="P357" s="12">
        <f>Tabla1[[#This Row],[Profit]] / Tabla1[[#This Row],[Sales_Calculated]]</f>
        <v>0.31492574880442997</v>
      </c>
      <c r="Q357" s="20">
        <f xml:space="preserve"> Tabla1[[#This Row],[Unit_Price]] * Tabla1[[#This Row],[Quantity_Sold]]</f>
        <v>9535.2000000000007</v>
      </c>
    </row>
    <row r="358" spans="1:17" x14ac:dyDescent="0.3">
      <c r="A358" s="2">
        <v>1097</v>
      </c>
      <c r="B358" s="1">
        <v>45011</v>
      </c>
      <c r="C358" s="8" t="s">
        <v>24</v>
      </c>
      <c r="D358" s="8" t="s">
        <v>34</v>
      </c>
      <c r="E358" s="6">
        <v>6286.25</v>
      </c>
      <c r="F358" s="2">
        <v>7</v>
      </c>
      <c r="G358" s="8" t="s">
        <v>29</v>
      </c>
      <c r="H358" s="6">
        <v>1896.35</v>
      </c>
      <c r="I358" s="6">
        <v>2394.1999999999998</v>
      </c>
      <c r="J358" s="8" t="s">
        <v>30</v>
      </c>
      <c r="K358" s="12">
        <v>0.22</v>
      </c>
      <c r="L358" s="8" t="s">
        <v>27</v>
      </c>
      <c r="M358" s="8" t="s">
        <v>19</v>
      </c>
      <c r="N358" s="10" t="s">
        <v>50</v>
      </c>
      <c r="O358" s="17">
        <f xml:space="preserve"> (Tabla1[[#This Row],[Unit_Price]] - Tabla1[[#This Row],[Unit_Cost]] ) * Tabla1[[#This Row],[Quantity_Sold]]</f>
        <v>3484.9499999999994</v>
      </c>
      <c r="P358" s="12">
        <f>Tabla1[[#This Row],[Profit]] / Tabla1[[#This Row],[Sales_Calculated]]</f>
        <v>0.2079400217191546</v>
      </c>
      <c r="Q358" s="20">
        <f xml:space="preserve"> Tabla1[[#This Row],[Unit_Price]] * Tabla1[[#This Row],[Quantity_Sold]]</f>
        <v>16759.399999999998</v>
      </c>
    </row>
    <row r="359" spans="1:17" x14ac:dyDescent="0.3">
      <c r="A359" s="2">
        <v>1069</v>
      </c>
      <c r="B359" s="1">
        <v>45073</v>
      </c>
      <c r="C359" s="8" t="s">
        <v>33</v>
      </c>
      <c r="D359" s="8" t="s">
        <v>21</v>
      </c>
      <c r="E359" s="6">
        <v>5760.29</v>
      </c>
      <c r="F359" s="2">
        <v>44</v>
      </c>
      <c r="G359" s="8" t="s">
        <v>35</v>
      </c>
      <c r="H359" s="6">
        <v>1084.73</v>
      </c>
      <c r="I359" s="6">
        <v>1420.9</v>
      </c>
      <c r="J359" s="8" t="s">
        <v>17</v>
      </c>
      <c r="K359" s="12">
        <v>0.05</v>
      </c>
      <c r="L359" s="8" t="s">
        <v>31</v>
      </c>
      <c r="M359" s="8" t="s">
        <v>19</v>
      </c>
      <c r="N359" s="10" t="s">
        <v>37</v>
      </c>
      <c r="O359" s="17">
        <f xml:space="preserve"> (Tabla1[[#This Row],[Unit_Price]] - Tabla1[[#This Row],[Unit_Cost]] ) * Tabla1[[#This Row],[Quantity_Sold]]</f>
        <v>14791.480000000003</v>
      </c>
      <c r="P359" s="12">
        <f>Tabla1[[#This Row],[Profit]] / Tabla1[[#This Row],[Sales_Calculated]]</f>
        <v>0.23658948553733553</v>
      </c>
      <c r="Q359" s="20">
        <f xml:space="preserve"> Tabla1[[#This Row],[Unit_Price]] * Tabla1[[#This Row],[Quantity_Sold]]</f>
        <v>62519.600000000006</v>
      </c>
    </row>
    <row r="360" spans="1:17" x14ac:dyDescent="0.3">
      <c r="A360" s="2">
        <v>1061</v>
      </c>
      <c r="B360" s="1">
        <v>45038</v>
      </c>
      <c r="C360" s="8" t="s">
        <v>38</v>
      </c>
      <c r="D360" s="8" t="s">
        <v>25</v>
      </c>
      <c r="E360" s="6">
        <v>8345.02</v>
      </c>
      <c r="F360" s="2">
        <v>39</v>
      </c>
      <c r="G360" s="8" t="s">
        <v>35</v>
      </c>
      <c r="H360" s="6">
        <v>3494.19</v>
      </c>
      <c r="I360" s="6">
        <v>3746</v>
      </c>
      <c r="J360" s="8" t="s">
        <v>17</v>
      </c>
      <c r="K360" s="12">
        <v>0.25</v>
      </c>
      <c r="L360" s="8" t="s">
        <v>27</v>
      </c>
      <c r="M360" s="8" t="s">
        <v>22</v>
      </c>
      <c r="N360" s="10" t="s">
        <v>39</v>
      </c>
      <c r="O360" s="17">
        <f xml:space="preserve"> (Tabla1[[#This Row],[Unit_Price]] - Tabla1[[#This Row],[Unit_Cost]] ) * Tabla1[[#This Row],[Quantity_Sold]]</f>
        <v>9820.5899999999983</v>
      </c>
      <c r="P360" s="12">
        <f>Tabla1[[#This Row],[Profit]] / Tabla1[[#This Row],[Sales_Calculated]]</f>
        <v>6.7221035771489579E-2</v>
      </c>
      <c r="Q360" s="20">
        <f xml:space="preserve"> Tabla1[[#This Row],[Unit_Price]] * Tabla1[[#This Row],[Quantity_Sold]]</f>
        <v>146094</v>
      </c>
    </row>
    <row r="361" spans="1:17" x14ac:dyDescent="0.3">
      <c r="A361" s="2">
        <v>1048</v>
      </c>
      <c r="B361" s="1">
        <v>44962</v>
      </c>
      <c r="C361" s="8" t="s">
        <v>24</v>
      </c>
      <c r="D361" s="8" t="s">
        <v>15</v>
      </c>
      <c r="E361" s="6">
        <v>9070.26</v>
      </c>
      <c r="F361" s="2">
        <v>42</v>
      </c>
      <c r="G361" s="8" t="s">
        <v>35</v>
      </c>
      <c r="H361" s="6">
        <v>4723.83</v>
      </c>
      <c r="I361" s="6">
        <v>5186.1899999999996</v>
      </c>
      <c r="J361" s="8" t="s">
        <v>17</v>
      </c>
      <c r="K361" s="12">
        <v>0.22</v>
      </c>
      <c r="L361" s="8" t="s">
        <v>31</v>
      </c>
      <c r="M361" s="8" t="s">
        <v>19</v>
      </c>
      <c r="N361" s="10" t="s">
        <v>45</v>
      </c>
      <c r="O361" s="17">
        <f xml:space="preserve"> (Tabla1[[#This Row],[Unit_Price]] - Tabla1[[#This Row],[Unit_Cost]] ) * Tabla1[[#This Row],[Quantity_Sold]]</f>
        <v>19419.119999999988</v>
      </c>
      <c r="P361" s="12">
        <f>Tabla1[[#This Row],[Profit]] / Tabla1[[#This Row],[Sales_Calculated]]</f>
        <v>8.9152152157942491E-2</v>
      </c>
      <c r="Q361" s="20">
        <f xml:space="preserve"> Tabla1[[#This Row],[Unit_Price]] * Tabla1[[#This Row],[Quantity_Sold]]</f>
        <v>217819.97999999998</v>
      </c>
    </row>
    <row r="362" spans="1:17" x14ac:dyDescent="0.3">
      <c r="A362" s="2">
        <v>1019</v>
      </c>
      <c r="B362" s="1">
        <v>45211</v>
      </c>
      <c r="C362" s="8" t="s">
        <v>33</v>
      </c>
      <c r="D362" s="8" t="s">
        <v>21</v>
      </c>
      <c r="E362" s="6">
        <v>220.35</v>
      </c>
      <c r="F362" s="2">
        <v>16</v>
      </c>
      <c r="G362" s="8" t="s">
        <v>29</v>
      </c>
      <c r="H362" s="6">
        <v>4977.78</v>
      </c>
      <c r="I362" s="6">
        <v>4995.55</v>
      </c>
      <c r="J362" s="8" t="s">
        <v>30</v>
      </c>
      <c r="K362" s="12">
        <v>0.25</v>
      </c>
      <c r="L362" s="8" t="s">
        <v>31</v>
      </c>
      <c r="M362" s="8" t="s">
        <v>19</v>
      </c>
      <c r="N362" s="10" t="s">
        <v>37</v>
      </c>
      <c r="O362" s="17">
        <f xml:space="preserve"> (Tabla1[[#This Row],[Unit_Price]] - Tabla1[[#This Row],[Unit_Cost]] ) * Tabla1[[#This Row],[Quantity_Sold]]</f>
        <v>284.32000000000698</v>
      </c>
      <c r="P362" s="12">
        <f>Tabla1[[#This Row],[Profit]] / Tabla1[[#This Row],[Sales_Calculated]]</f>
        <v>3.5571658776311788E-3</v>
      </c>
      <c r="Q362" s="20">
        <f xml:space="preserve"> Tabla1[[#This Row],[Unit_Price]] * Tabla1[[#This Row],[Quantity_Sold]]</f>
        <v>79928.800000000003</v>
      </c>
    </row>
    <row r="363" spans="1:17" x14ac:dyDescent="0.3">
      <c r="A363" s="2">
        <v>1004</v>
      </c>
      <c r="B363" s="1">
        <v>45114</v>
      </c>
      <c r="C363" s="8" t="s">
        <v>38</v>
      </c>
      <c r="D363" s="8" t="s">
        <v>15</v>
      </c>
      <c r="E363" s="6">
        <v>6772.8</v>
      </c>
      <c r="F363" s="2">
        <v>35</v>
      </c>
      <c r="G363" s="8" t="s">
        <v>29</v>
      </c>
      <c r="H363" s="6">
        <v>2278.87</v>
      </c>
      <c r="I363" s="6">
        <v>2646.5299999999902</v>
      </c>
      <c r="J363" s="8" t="s">
        <v>17</v>
      </c>
      <c r="K363" s="12">
        <v>0.09</v>
      </c>
      <c r="L363" s="8" t="s">
        <v>27</v>
      </c>
      <c r="M363" s="8" t="s">
        <v>19</v>
      </c>
      <c r="N363" s="10" t="s">
        <v>40</v>
      </c>
      <c r="O363" s="17">
        <f xml:space="preserve"> (Tabla1[[#This Row],[Unit_Price]] - Tabla1[[#This Row],[Unit_Cost]] ) * Tabla1[[#This Row],[Quantity_Sold]]</f>
        <v>12868.09999999966</v>
      </c>
      <c r="P363" s="12">
        <f>Tabla1[[#This Row],[Profit]] / Tabla1[[#This Row],[Sales_Calculated]]</f>
        <v>0.13892153121256576</v>
      </c>
      <c r="Q363" s="20">
        <f xml:space="preserve"> Tabla1[[#This Row],[Unit_Price]] * Tabla1[[#This Row],[Quantity_Sold]]</f>
        <v>92628.549999999654</v>
      </c>
    </row>
    <row r="364" spans="1:17" x14ac:dyDescent="0.3">
      <c r="A364" s="2">
        <v>1035</v>
      </c>
      <c r="B364" s="1">
        <v>45008</v>
      </c>
      <c r="C364" s="8" t="s">
        <v>24</v>
      </c>
      <c r="D364" s="8" t="s">
        <v>34</v>
      </c>
      <c r="E364" s="6">
        <v>613.16999999999996</v>
      </c>
      <c r="F364" s="2">
        <v>30</v>
      </c>
      <c r="G364" s="8" t="s">
        <v>29</v>
      </c>
      <c r="H364" s="6">
        <v>1300.03</v>
      </c>
      <c r="I364" s="6">
        <v>1745.52</v>
      </c>
      <c r="J364" s="8" t="s">
        <v>30</v>
      </c>
      <c r="K364" s="12">
        <v>0.09</v>
      </c>
      <c r="L364" s="8" t="s">
        <v>18</v>
      </c>
      <c r="M364" s="8" t="s">
        <v>22</v>
      </c>
      <c r="N364" s="10" t="s">
        <v>50</v>
      </c>
      <c r="O364" s="17">
        <f xml:space="preserve"> (Tabla1[[#This Row],[Unit_Price]] - Tabla1[[#This Row],[Unit_Cost]] ) * Tabla1[[#This Row],[Quantity_Sold]]</f>
        <v>13364.7</v>
      </c>
      <c r="P364" s="12">
        <f>Tabla1[[#This Row],[Profit]] / Tabla1[[#This Row],[Sales_Calculated]]</f>
        <v>0.25521907511801645</v>
      </c>
      <c r="Q364" s="20">
        <f xml:space="preserve"> Tabla1[[#This Row],[Unit_Price]] * Tabla1[[#This Row],[Quantity_Sold]]</f>
        <v>52365.599999999999</v>
      </c>
    </row>
    <row r="365" spans="1:17" x14ac:dyDescent="0.3">
      <c r="A365" s="2">
        <v>1064</v>
      </c>
      <c r="B365" s="1">
        <v>44928</v>
      </c>
      <c r="C365" s="8" t="s">
        <v>24</v>
      </c>
      <c r="D365" s="8" t="s">
        <v>25</v>
      </c>
      <c r="E365" s="6">
        <v>5533.7</v>
      </c>
      <c r="F365" s="2">
        <v>10</v>
      </c>
      <c r="G365" s="8" t="s">
        <v>35</v>
      </c>
      <c r="H365" s="6">
        <v>2242.0100000000002</v>
      </c>
      <c r="I365" s="6">
        <v>2282.23</v>
      </c>
      <c r="J365" s="8" t="s">
        <v>17</v>
      </c>
      <c r="K365" s="12">
        <v>0.2</v>
      </c>
      <c r="L365" s="8" t="s">
        <v>31</v>
      </c>
      <c r="M365" s="8" t="s">
        <v>19</v>
      </c>
      <c r="N365" s="10" t="s">
        <v>28</v>
      </c>
      <c r="O365" s="17">
        <f xml:space="preserve"> (Tabla1[[#This Row],[Unit_Price]] - Tabla1[[#This Row],[Unit_Cost]] ) * Tabla1[[#This Row],[Quantity_Sold]]</f>
        <v>402.199999999998</v>
      </c>
      <c r="P365" s="12">
        <f>Tabla1[[#This Row],[Profit]] / Tabla1[[#This Row],[Sales_Calculated]]</f>
        <v>1.7623114234761528E-2</v>
      </c>
      <c r="Q365" s="20">
        <f xml:space="preserve"> Tabla1[[#This Row],[Unit_Price]] * Tabla1[[#This Row],[Quantity_Sold]]</f>
        <v>22822.3</v>
      </c>
    </row>
    <row r="366" spans="1:17" x14ac:dyDescent="0.3">
      <c r="A366" s="2">
        <v>1049</v>
      </c>
      <c r="B366" s="1">
        <v>45229</v>
      </c>
      <c r="C366" s="8" t="s">
        <v>42</v>
      </c>
      <c r="D366" s="8" t="s">
        <v>34</v>
      </c>
      <c r="E366" s="6">
        <v>2947.56</v>
      </c>
      <c r="F366" s="2">
        <v>38</v>
      </c>
      <c r="G366" s="8" t="s">
        <v>26</v>
      </c>
      <c r="H366" s="6">
        <v>4243.9799999999996</v>
      </c>
      <c r="I366" s="6">
        <v>4474.5099999999902</v>
      </c>
      <c r="J366" s="8" t="s">
        <v>30</v>
      </c>
      <c r="K366" s="12">
        <v>0.01</v>
      </c>
      <c r="L366" s="8" t="s">
        <v>31</v>
      </c>
      <c r="M366" s="8" t="s">
        <v>19</v>
      </c>
      <c r="N366" s="10" t="s">
        <v>52</v>
      </c>
      <c r="O366" s="17">
        <f xml:space="preserve"> (Tabla1[[#This Row],[Unit_Price]] - Tabla1[[#This Row],[Unit_Cost]] ) * Tabla1[[#This Row],[Quantity_Sold]]</f>
        <v>8760.1399999996447</v>
      </c>
      <c r="P366" s="12">
        <f>Tabla1[[#This Row],[Profit]] / Tabla1[[#This Row],[Sales_Calculated]]</f>
        <v>5.1520725174374657E-2</v>
      </c>
      <c r="Q366" s="20">
        <f xml:space="preserve"> Tabla1[[#This Row],[Unit_Price]] * Tabla1[[#This Row],[Quantity_Sold]]</f>
        <v>170031.37999999963</v>
      </c>
    </row>
    <row r="367" spans="1:17" x14ac:dyDescent="0.3">
      <c r="A367" s="2">
        <v>1017</v>
      </c>
      <c r="B367" s="1">
        <v>45123</v>
      </c>
      <c r="C367" s="8" t="s">
        <v>42</v>
      </c>
      <c r="D367" s="8" t="s">
        <v>25</v>
      </c>
      <c r="E367" s="6">
        <v>3137.09</v>
      </c>
      <c r="F367" s="2">
        <v>18</v>
      </c>
      <c r="G367" s="8" t="s">
        <v>16</v>
      </c>
      <c r="H367" s="6">
        <v>1069.73</v>
      </c>
      <c r="I367" s="6">
        <v>1180.04</v>
      </c>
      <c r="J367" s="8" t="s">
        <v>17</v>
      </c>
      <c r="K367" s="12">
        <v>0.22</v>
      </c>
      <c r="L367" s="8" t="s">
        <v>27</v>
      </c>
      <c r="M367" s="8" t="s">
        <v>19</v>
      </c>
      <c r="N367" s="10" t="s">
        <v>43</v>
      </c>
      <c r="O367" s="17">
        <f xml:space="preserve"> (Tabla1[[#This Row],[Unit_Price]] - Tabla1[[#This Row],[Unit_Cost]] ) * Tabla1[[#This Row],[Quantity_Sold]]</f>
        <v>1985.579999999999</v>
      </c>
      <c r="P367" s="12">
        <f>Tabla1[[#This Row],[Profit]] / Tabla1[[#This Row],[Sales_Calculated]]</f>
        <v>9.3479882037896964E-2</v>
      </c>
      <c r="Q367" s="20">
        <f xml:space="preserve"> Tabla1[[#This Row],[Unit_Price]] * Tabla1[[#This Row],[Quantity_Sold]]</f>
        <v>21240.720000000001</v>
      </c>
    </row>
    <row r="368" spans="1:17" x14ac:dyDescent="0.3">
      <c r="A368" s="2">
        <v>1044</v>
      </c>
      <c r="B368" s="1">
        <v>44937</v>
      </c>
      <c r="C368" s="8" t="s">
        <v>38</v>
      </c>
      <c r="D368" s="8" t="s">
        <v>15</v>
      </c>
      <c r="E368" s="6">
        <v>3594.29</v>
      </c>
      <c r="F368" s="2">
        <v>5</v>
      </c>
      <c r="G368" s="8" t="s">
        <v>26</v>
      </c>
      <c r="H368" s="6">
        <v>4762.87</v>
      </c>
      <c r="I368" s="6">
        <v>5050.46</v>
      </c>
      <c r="J368" s="8" t="s">
        <v>30</v>
      </c>
      <c r="K368" s="12">
        <v>0.25</v>
      </c>
      <c r="L368" s="8" t="s">
        <v>18</v>
      </c>
      <c r="M368" s="8" t="s">
        <v>22</v>
      </c>
      <c r="N368" s="10" t="s">
        <v>40</v>
      </c>
      <c r="O368" s="17">
        <f xml:space="preserve"> (Tabla1[[#This Row],[Unit_Price]] - Tabla1[[#This Row],[Unit_Cost]] ) * Tabla1[[#This Row],[Quantity_Sold]]</f>
        <v>1437.9500000000007</v>
      </c>
      <c r="P368" s="12">
        <f>Tabla1[[#This Row],[Profit]] / Tabla1[[#This Row],[Sales_Calculated]]</f>
        <v>5.6943327934485206E-2</v>
      </c>
      <c r="Q368" s="20">
        <f xml:space="preserve"> Tabla1[[#This Row],[Unit_Price]] * Tabla1[[#This Row],[Quantity_Sold]]</f>
        <v>25252.3</v>
      </c>
    </row>
    <row r="369" spans="1:17" x14ac:dyDescent="0.3">
      <c r="A369" s="2">
        <v>1092</v>
      </c>
      <c r="B369" s="1">
        <v>45160</v>
      </c>
      <c r="C369" s="8" t="s">
        <v>24</v>
      </c>
      <c r="D369" s="8" t="s">
        <v>34</v>
      </c>
      <c r="E369" s="6">
        <v>6250.8</v>
      </c>
      <c r="F369" s="2">
        <v>29</v>
      </c>
      <c r="G369" s="8" t="s">
        <v>29</v>
      </c>
      <c r="H369" s="6">
        <v>1742.24</v>
      </c>
      <c r="I369" s="6">
        <v>2070.52</v>
      </c>
      <c r="J369" s="8" t="s">
        <v>30</v>
      </c>
      <c r="K369" s="12">
        <v>0.12</v>
      </c>
      <c r="L369" s="8" t="s">
        <v>18</v>
      </c>
      <c r="M369" s="8" t="s">
        <v>19</v>
      </c>
      <c r="N369" s="10" t="s">
        <v>50</v>
      </c>
      <c r="O369" s="17">
        <f xml:space="preserve"> (Tabla1[[#This Row],[Unit_Price]] - Tabla1[[#This Row],[Unit_Cost]] ) * Tabla1[[#This Row],[Quantity_Sold]]</f>
        <v>9520.119999999999</v>
      </c>
      <c r="P369" s="12">
        <f>Tabla1[[#This Row],[Profit]] / Tabla1[[#This Row],[Sales_Calculated]]</f>
        <v>0.15854954310994337</v>
      </c>
      <c r="Q369" s="20">
        <f xml:space="preserve"> Tabla1[[#This Row],[Unit_Price]] * Tabla1[[#This Row],[Quantity_Sold]]</f>
        <v>60045.08</v>
      </c>
    </row>
    <row r="370" spans="1:17" x14ac:dyDescent="0.3">
      <c r="A370" s="2">
        <v>1030</v>
      </c>
      <c r="B370" s="1">
        <v>45121</v>
      </c>
      <c r="C370" s="8" t="s">
        <v>14</v>
      </c>
      <c r="D370" s="8" t="s">
        <v>34</v>
      </c>
      <c r="E370" s="6">
        <v>3407.09</v>
      </c>
      <c r="F370" s="2">
        <v>39</v>
      </c>
      <c r="G370" s="8" t="s">
        <v>29</v>
      </c>
      <c r="H370" s="6">
        <v>4929.7299999999996</v>
      </c>
      <c r="I370" s="6">
        <v>5088.0199999999904</v>
      </c>
      <c r="J370" s="8" t="s">
        <v>30</v>
      </c>
      <c r="K370" s="12">
        <v>0.23</v>
      </c>
      <c r="L370" s="8" t="s">
        <v>27</v>
      </c>
      <c r="M370" s="8" t="s">
        <v>22</v>
      </c>
      <c r="N370" s="10" t="s">
        <v>46</v>
      </c>
      <c r="O370" s="17">
        <f xml:space="preserve"> (Tabla1[[#This Row],[Unit_Price]] - Tabla1[[#This Row],[Unit_Cost]] ) * Tabla1[[#This Row],[Quantity_Sold]]</f>
        <v>6173.3099999996439</v>
      </c>
      <c r="P370" s="12">
        <f>Tabla1[[#This Row],[Profit]] / Tabla1[[#This Row],[Sales_Calculated]]</f>
        <v>3.1110333685793527E-2</v>
      </c>
      <c r="Q370" s="20">
        <f xml:space="preserve"> Tabla1[[#This Row],[Unit_Price]] * Tabla1[[#This Row],[Quantity_Sold]]</f>
        <v>198432.77999999962</v>
      </c>
    </row>
    <row r="371" spans="1:17" x14ac:dyDescent="0.3">
      <c r="A371" s="2">
        <v>1093</v>
      </c>
      <c r="B371" s="1">
        <v>45045</v>
      </c>
      <c r="C371" s="8" t="s">
        <v>42</v>
      </c>
      <c r="D371" s="8" t="s">
        <v>15</v>
      </c>
      <c r="E371" s="6">
        <v>7353.72</v>
      </c>
      <c r="F371" s="2">
        <v>34</v>
      </c>
      <c r="G371" s="8" t="s">
        <v>26</v>
      </c>
      <c r="H371" s="6">
        <v>4201.1099999999997</v>
      </c>
      <c r="I371" s="6">
        <v>4436.5</v>
      </c>
      <c r="J371" s="8" t="s">
        <v>30</v>
      </c>
      <c r="K371" s="12">
        <v>0.05</v>
      </c>
      <c r="L371" s="8" t="s">
        <v>18</v>
      </c>
      <c r="M371" s="8" t="s">
        <v>19</v>
      </c>
      <c r="N371" s="10" t="s">
        <v>49</v>
      </c>
      <c r="O371" s="17">
        <f xml:space="preserve"> (Tabla1[[#This Row],[Unit_Price]] - Tabla1[[#This Row],[Unit_Cost]] ) * Tabla1[[#This Row],[Quantity_Sold]]</f>
        <v>8003.2600000000111</v>
      </c>
      <c r="P371" s="12">
        <f>Tabla1[[#This Row],[Profit]] / Tabla1[[#This Row],[Sales_Calculated]]</f>
        <v>5.3057590442916788E-2</v>
      </c>
      <c r="Q371" s="20">
        <f xml:space="preserve"> Tabla1[[#This Row],[Unit_Price]] * Tabla1[[#This Row],[Quantity_Sold]]</f>
        <v>150841</v>
      </c>
    </row>
    <row r="372" spans="1:17" x14ac:dyDescent="0.3">
      <c r="A372" s="2">
        <v>1046</v>
      </c>
      <c r="B372" s="1">
        <v>44946</v>
      </c>
      <c r="C372" s="8" t="s">
        <v>38</v>
      </c>
      <c r="D372" s="8" t="s">
        <v>34</v>
      </c>
      <c r="E372" s="6">
        <v>4104.82</v>
      </c>
      <c r="F372" s="2">
        <v>43</v>
      </c>
      <c r="G372" s="8" t="s">
        <v>29</v>
      </c>
      <c r="H372" s="6">
        <v>4052.42</v>
      </c>
      <c r="I372" s="6">
        <v>4199.3</v>
      </c>
      <c r="J372" s="8" t="s">
        <v>30</v>
      </c>
      <c r="K372" s="12">
        <v>0.1</v>
      </c>
      <c r="L372" s="8" t="s">
        <v>27</v>
      </c>
      <c r="M372" s="8" t="s">
        <v>22</v>
      </c>
      <c r="N372" s="10" t="s">
        <v>48</v>
      </c>
      <c r="O372" s="17">
        <f xml:space="preserve"> (Tabla1[[#This Row],[Unit_Price]] - Tabla1[[#This Row],[Unit_Cost]] ) * Tabla1[[#This Row],[Quantity_Sold]]</f>
        <v>6315.8400000000047</v>
      </c>
      <c r="P372" s="12">
        <f>Tabla1[[#This Row],[Profit]] / Tabla1[[#This Row],[Sales_Calculated]]</f>
        <v>3.4977258114447671E-2</v>
      </c>
      <c r="Q372" s="20">
        <f xml:space="preserve"> Tabla1[[#This Row],[Unit_Price]] * Tabla1[[#This Row],[Quantity_Sold]]</f>
        <v>180569.9</v>
      </c>
    </row>
    <row r="373" spans="1:17" x14ac:dyDescent="0.3">
      <c r="A373" s="2">
        <v>1006</v>
      </c>
      <c r="B373" s="1">
        <v>45187</v>
      </c>
      <c r="C373" s="8" t="s">
        <v>24</v>
      </c>
      <c r="D373" s="8" t="s">
        <v>21</v>
      </c>
      <c r="E373" s="6">
        <v>776.7</v>
      </c>
      <c r="F373" s="2">
        <v>45</v>
      </c>
      <c r="G373" s="8" t="s">
        <v>16</v>
      </c>
      <c r="H373" s="6">
        <v>1623.63</v>
      </c>
      <c r="I373" s="6">
        <v>1814.63</v>
      </c>
      <c r="J373" s="8" t="s">
        <v>30</v>
      </c>
      <c r="K373" s="12">
        <v>0.28999999999999998</v>
      </c>
      <c r="L373" s="8" t="s">
        <v>27</v>
      </c>
      <c r="M373" s="8" t="s">
        <v>22</v>
      </c>
      <c r="N373" s="10" t="s">
        <v>47</v>
      </c>
      <c r="O373" s="17">
        <f xml:space="preserve"> (Tabla1[[#This Row],[Unit_Price]] - Tabla1[[#This Row],[Unit_Cost]] ) * Tabla1[[#This Row],[Quantity_Sold]]</f>
        <v>8595</v>
      </c>
      <c r="P373" s="12">
        <f>Tabla1[[#This Row],[Profit]] / Tabla1[[#This Row],[Sales_Calculated]]</f>
        <v>0.10525561684751161</v>
      </c>
      <c r="Q373" s="20">
        <f xml:space="preserve"> Tabla1[[#This Row],[Unit_Price]] * Tabla1[[#This Row],[Quantity_Sold]]</f>
        <v>81658.350000000006</v>
      </c>
    </row>
    <row r="374" spans="1:17" x14ac:dyDescent="0.3">
      <c r="A374" s="2">
        <v>1099</v>
      </c>
      <c r="B374" s="1">
        <v>45219</v>
      </c>
      <c r="C374" s="8" t="s">
        <v>24</v>
      </c>
      <c r="D374" s="8" t="s">
        <v>25</v>
      </c>
      <c r="E374" s="6">
        <v>7859.22</v>
      </c>
      <c r="F374" s="2">
        <v>23</v>
      </c>
      <c r="G374" s="8" t="s">
        <v>29</v>
      </c>
      <c r="H374" s="6">
        <v>93.45</v>
      </c>
      <c r="I374" s="6">
        <v>181.62</v>
      </c>
      <c r="J374" s="8" t="s">
        <v>17</v>
      </c>
      <c r="K374" s="12">
        <v>0.3</v>
      </c>
      <c r="L374" s="8" t="s">
        <v>27</v>
      </c>
      <c r="M374" s="8" t="s">
        <v>22</v>
      </c>
      <c r="N374" s="10" t="s">
        <v>28</v>
      </c>
      <c r="O374" s="17">
        <f xml:space="preserve"> (Tabla1[[#This Row],[Unit_Price]] - Tabla1[[#This Row],[Unit_Cost]] ) * Tabla1[[#This Row],[Quantity_Sold]]</f>
        <v>2027.91</v>
      </c>
      <c r="P374" s="12">
        <f>Tabla1[[#This Row],[Profit]] / Tabla1[[#This Row],[Sales_Calculated]]</f>
        <v>0.48546415592996367</v>
      </c>
      <c r="Q374" s="20">
        <f xml:space="preserve"> Tabla1[[#This Row],[Unit_Price]] * Tabla1[[#This Row],[Quantity_Sold]]</f>
        <v>4177.26</v>
      </c>
    </row>
    <row r="375" spans="1:17" x14ac:dyDescent="0.3">
      <c r="A375" s="2">
        <v>1037</v>
      </c>
      <c r="B375" s="1">
        <v>45182</v>
      </c>
      <c r="C375" s="8" t="s">
        <v>14</v>
      </c>
      <c r="D375" s="8" t="s">
        <v>25</v>
      </c>
      <c r="E375" s="6">
        <v>2929.01</v>
      </c>
      <c r="F375" s="2">
        <v>5</v>
      </c>
      <c r="G375" s="8" t="s">
        <v>16</v>
      </c>
      <c r="H375" s="6">
        <v>1941.56</v>
      </c>
      <c r="I375" s="6">
        <v>2385.48</v>
      </c>
      <c r="J375" s="8" t="s">
        <v>17</v>
      </c>
      <c r="K375" s="12">
        <v>0.15</v>
      </c>
      <c r="L375" s="8" t="s">
        <v>31</v>
      </c>
      <c r="M375" s="8" t="s">
        <v>19</v>
      </c>
      <c r="N375" s="10" t="s">
        <v>32</v>
      </c>
      <c r="O375" s="17">
        <f xml:space="preserve"> (Tabla1[[#This Row],[Unit_Price]] - Tabla1[[#This Row],[Unit_Cost]] ) * Tabla1[[#This Row],[Quantity_Sold]]</f>
        <v>2219.6000000000004</v>
      </c>
      <c r="P375" s="12">
        <f>Tabla1[[#This Row],[Profit]] / Tabla1[[#This Row],[Sales_Calculated]]</f>
        <v>0.18609252645169949</v>
      </c>
      <c r="Q375" s="20">
        <f xml:space="preserve"> Tabla1[[#This Row],[Unit_Price]] * Tabla1[[#This Row],[Quantity_Sold]]</f>
        <v>11927.4</v>
      </c>
    </row>
    <row r="376" spans="1:17" x14ac:dyDescent="0.3">
      <c r="A376" s="2">
        <v>1024</v>
      </c>
      <c r="B376" s="1">
        <v>45148</v>
      </c>
      <c r="C376" s="8" t="s">
        <v>38</v>
      </c>
      <c r="D376" s="8" t="s">
        <v>25</v>
      </c>
      <c r="E376" s="6">
        <v>4384.3900000000003</v>
      </c>
      <c r="F376" s="2">
        <v>30</v>
      </c>
      <c r="G376" s="8" t="s">
        <v>26</v>
      </c>
      <c r="H376" s="6">
        <v>1543.96</v>
      </c>
      <c r="I376" s="6">
        <v>1558.87</v>
      </c>
      <c r="J376" s="8" t="s">
        <v>17</v>
      </c>
      <c r="K376" s="12">
        <v>0.28000000000000003</v>
      </c>
      <c r="L376" s="8" t="s">
        <v>31</v>
      </c>
      <c r="M376" s="8" t="s">
        <v>19</v>
      </c>
      <c r="N376" s="10" t="s">
        <v>39</v>
      </c>
      <c r="O376" s="17">
        <f xml:space="preserve"> (Tabla1[[#This Row],[Unit_Price]] - Tabla1[[#This Row],[Unit_Cost]] ) * Tabla1[[#This Row],[Quantity_Sold]]</f>
        <v>447.29999999999563</v>
      </c>
      <c r="P376" s="12">
        <f>Tabla1[[#This Row],[Profit]] / Tabla1[[#This Row],[Sales_Calculated]]</f>
        <v>9.564620526406855E-3</v>
      </c>
      <c r="Q376" s="20">
        <f xml:space="preserve"> Tabla1[[#This Row],[Unit_Price]] * Tabla1[[#This Row],[Quantity_Sold]]</f>
        <v>46766.1</v>
      </c>
    </row>
    <row r="377" spans="1:17" x14ac:dyDescent="0.3">
      <c r="A377" s="2">
        <v>1093</v>
      </c>
      <c r="B377" s="1">
        <v>45152</v>
      </c>
      <c r="C377" s="8" t="s">
        <v>24</v>
      </c>
      <c r="D377" s="8" t="s">
        <v>21</v>
      </c>
      <c r="E377" s="6">
        <v>6885.89</v>
      </c>
      <c r="F377" s="2">
        <v>6</v>
      </c>
      <c r="G377" s="8" t="s">
        <v>26</v>
      </c>
      <c r="H377" s="6">
        <v>235.12</v>
      </c>
      <c r="I377" s="6">
        <v>677.5</v>
      </c>
      <c r="J377" s="8" t="s">
        <v>17</v>
      </c>
      <c r="K377" s="12">
        <v>0.16</v>
      </c>
      <c r="L377" s="8" t="s">
        <v>31</v>
      </c>
      <c r="M377" s="8" t="s">
        <v>19</v>
      </c>
      <c r="N377" s="10" t="s">
        <v>47</v>
      </c>
      <c r="O377" s="17">
        <f xml:space="preserve"> (Tabla1[[#This Row],[Unit_Price]] - Tabla1[[#This Row],[Unit_Cost]] ) * Tabla1[[#This Row],[Quantity_Sold]]</f>
        <v>2654.2799999999997</v>
      </c>
      <c r="P377" s="12">
        <f>Tabla1[[#This Row],[Profit]] / Tabla1[[#This Row],[Sales_Calculated]]</f>
        <v>0.65295940959409593</v>
      </c>
      <c r="Q377" s="20">
        <f xml:space="preserve"> Tabla1[[#This Row],[Unit_Price]] * Tabla1[[#This Row],[Quantity_Sold]]</f>
        <v>4065</v>
      </c>
    </row>
    <row r="378" spans="1:17" x14ac:dyDescent="0.3">
      <c r="A378" s="2">
        <v>1046</v>
      </c>
      <c r="B378" s="1">
        <v>44979</v>
      </c>
      <c r="C378" s="8" t="s">
        <v>42</v>
      </c>
      <c r="D378" s="8" t="s">
        <v>25</v>
      </c>
      <c r="E378" s="6">
        <v>3391.32</v>
      </c>
      <c r="F378" s="2">
        <v>46</v>
      </c>
      <c r="G378" s="8" t="s">
        <v>29</v>
      </c>
      <c r="H378" s="6">
        <v>2551.56</v>
      </c>
      <c r="I378" s="6">
        <v>2841.68</v>
      </c>
      <c r="J378" s="8" t="s">
        <v>30</v>
      </c>
      <c r="K378" s="12">
        <v>0.09</v>
      </c>
      <c r="L378" s="8" t="s">
        <v>27</v>
      </c>
      <c r="M378" s="8" t="s">
        <v>22</v>
      </c>
      <c r="N378" s="10" t="s">
        <v>43</v>
      </c>
      <c r="O378" s="17">
        <f xml:space="preserve"> (Tabla1[[#This Row],[Unit_Price]] - Tabla1[[#This Row],[Unit_Cost]] ) * Tabla1[[#This Row],[Quantity_Sold]]</f>
        <v>13345.519999999995</v>
      </c>
      <c r="P378" s="12">
        <f>Tabla1[[#This Row],[Profit]] / Tabla1[[#This Row],[Sales_Calculated]]</f>
        <v>0.10209453562681227</v>
      </c>
      <c r="Q378" s="20">
        <f xml:space="preserve"> Tabla1[[#This Row],[Unit_Price]] * Tabla1[[#This Row],[Quantity_Sold]]</f>
        <v>130717.28</v>
      </c>
    </row>
    <row r="379" spans="1:17" x14ac:dyDescent="0.3">
      <c r="A379" s="2">
        <v>1053</v>
      </c>
      <c r="B379" s="1">
        <v>45281</v>
      </c>
      <c r="C379" s="8" t="s">
        <v>14</v>
      </c>
      <c r="D379" s="8" t="s">
        <v>15</v>
      </c>
      <c r="E379" s="6">
        <v>660.2</v>
      </c>
      <c r="F379" s="2">
        <v>44</v>
      </c>
      <c r="G379" s="8" t="s">
        <v>16</v>
      </c>
      <c r="H379" s="6">
        <v>2045</v>
      </c>
      <c r="I379" s="6">
        <v>2217.5100000000002</v>
      </c>
      <c r="J379" s="8" t="s">
        <v>17</v>
      </c>
      <c r="K379" s="12">
        <v>0.08</v>
      </c>
      <c r="L379" s="8" t="s">
        <v>31</v>
      </c>
      <c r="M379" s="8" t="s">
        <v>19</v>
      </c>
      <c r="N379" s="10" t="s">
        <v>20</v>
      </c>
      <c r="O379" s="17">
        <f xml:space="preserve"> (Tabla1[[#This Row],[Unit_Price]] - Tabla1[[#This Row],[Unit_Cost]] ) * Tabla1[[#This Row],[Quantity_Sold]]</f>
        <v>7590.4400000000096</v>
      </c>
      <c r="P379" s="12">
        <f>Tabla1[[#This Row],[Profit]] / Tabla1[[#This Row],[Sales_Calculated]]</f>
        <v>7.7794463159129024E-2</v>
      </c>
      <c r="Q379" s="20">
        <f xml:space="preserve"> Tabla1[[#This Row],[Unit_Price]] * Tabla1[[#This Row],[Quantity_Sold]]</f>
        <v>97570.44</v>
      </c>
    </row>
    <row r="380" spans="1:17" x14ac:dyDescent="0.3">
      <c r="A380" s="2">
        <v>1095</v>
      </c>
      <c r="B380" s="1">
        <v>45268</v>
      </c>
      <c r="C380" s="8" t="s">
        <v>38</v>
      </c>
      <c r="D380" s="8" t="s">
        <v>34</v>
      </c>
      <c r="E380" s="6">
        <v>3801.82</v>
      </c>
      <c r="F380" s="2">
        <v>4</v>
      </c>
      <c r="G380" s="8" t="s">
        <v>29</v>
      </c>
      <c r="H380" s="6">
        <v>3191.05</v>
      </c>
      <c r="I380" s="6">
        <v>3555.35</v>
      </c>
      <c r="J380" s="8" t="s">
        <v>30</v>
      </c>
      <c r="K380" s="12">
        <v>0.28000000000000003</v>
      </c>
      <c r="L380" s="8" t="s">
        <v>31</v>
      </c>
      <c r="M380" s="8" t="s">
        <v>19</v>
      </c>
      <c r="N380" s="10" t="s">
        <v>48</v>
      </c>
      <c r="O380" s="17">
        <f xml:space="preserve"> (Tabla1[[#This Row],[Unit_Price]] - Tabla1[[#This Row],[Unit_Cost]] ) * Tabla1[[#This Row],[Quantity_Sold]]</f>
        <v>1457.1999999999989</v>
      </c>
      <c r="P380" s="12">
        <f>Tabla1[[#This Row],[Profit]] / Tabla1[[#This Row],[Sales_Calculated]]</f>
        <v>0.10246529877508537</v>
      </c>
      <c r="Q380" s="20">
        <f xml:space="preserve"> Tabla1[[#This Row],[Unit_Price]] * Tabla1[[#This Row],[Quantity_Sold]]</f>
        <v>14221.4</v>
      </c>
    </row>
    <row r="381" spans="1:17" x14ac:dyDescent="0.3">
      <c r="A381" s="2">
        <v>1099</v>
      </c>
      <c r="B381" s="1">
        <v>45290</v>
      </c>
      <c r="C381" s="8" t="s">
        <v>14</v>
      </c>
      <c r="D381" s="8" t="s">
        <v>21</v>
      </c>
      <c r="E381" s="6">
        <v>9450.0400000000009</v>
      </c>
      <c r="F381" s="2">
        <v>29</v>
      </c>
      <c r="G381" s="8" t="s">
        <v>35</v>
      </c>
      <c r="H381" s="6">
        <v>3124.87</v>
      </c>
      <c r="I381" s="6">
        <v>3383.67</v>
      </c>
      <c r="J381" s="8" t="s">
        <v>30</v>
      </c>
      <c r="K381" s="12">
        <v>0.05</v>
      </c>
      <c r="L381" s="8" t="s">
        <v>31</v>
      </c>
      <c r="M381" s="8" t="s">
        <v>22</v>
      </c>
      <c r="N381" s="10" t="s">
        <v>23</v>
      </c>
      <c r="O381" s="17">
        <f xml:space="preserve"> (Tabla1[[#This Row],[Unit_Price]] - Tabla1[[#This Row],[Unit_Cost]] ) * Tabla1[[#This Row],[Quantity_Sold]]</f>
        <v>7505.2000000000053</v>
      </c>
      <c r="P381" s="12">
        <f>Tabla1[[#This Row],[Profit]] / Tabla1[[#This Row],[Sales_Calculated]]</f>
        <v>7.6485000014776899E-2</v>
      </c>
      <c r="Q381" s="20">
        <f xml:space="preserve"> Tabla1[[#This Row],[Unit_Price]] * Tabla1[[#This Row],[Quantity_Sold]]</f>
        <v>98126.430000000008</v>
      </c>
    </row>
    <row r="382" spans="1:17" x14ac:dyDescent="0.3">
      <c r="A382" s="2">
        <v>1060</v>
      </c>
      <c r="B382" s="1">
        <v>45206</v>
      </c>
      <c r="C382" s="8" t="s">
        <v>42</v>
      </c>
      <c r="D382" s="8" t="s">
        <v>25</v>
      </c>
      <c r="E382" s="6">
        <v>6453.17</v>
      </c>
      <c r="F382" s="2">
        <v>23</v>
      </c>
      <c r="G382" s="8" t="s">
        <v>35</v>
      </c>
      <c r="H382" s="6">
        <v>647.70000000000005</v>
      </c>
      <c r="I382" s="6">
        <v>902.26</v>
      </c>
      <c r="J382" s="8" t="s">
        <v>30</v>
      </c>
      <c r="K382" s="12">
        <v>0.17</v>
      </c>
      <c r="L382" s="8" t="s">
        <v>27</v>
      </c>
      <c r="M382" s="8" t="s">
        <v>19</v>
      </c>
      <c r="N382" s="10" t="s">
        <v>43</v>
      </c>
      <c r="O382" s="17">
        <f xml:space="preserve"> (Tabla1[[#This Row],[Unit_Price]] - Tabla1[[#This Row],[Unit_Cost]] ) * Tabla1[[#This Row],[Quantity_Sold]]</f>
        <v>5854.8799999999992</v>
      </c>
      <c r="P382" s="12">
        <f>Tabla1[[#This Row],[Profit]] / Tabla1[[#This Row],[Sales_Calculated]]</f>
        <v>0.28213596967614651</v>
      </c>
      <c r="Q382" s="20">
        <f xml:space="preserve"> Tabla1[[#This Row],[Unit_Price]] * Tabla1[[#This Row],[Quantity_Sold]]</f>
        <v>20751.98</v>
      </c>
    </row>
    <row r="383" spans="1:17" x14ac:dyDescent="0.3">
      <c r="A383" s="2">
        <v>1097</v>
      </c>
      <c r="B383" s="1">
        <v>45007</v>
      </c>
      <c r="C383" s="8" t="s">
        <v>38</v>
      </c>
      <c r="D383" s="8" t="s">
        <v>15</v>
      </c>
      <c r="E383" s="6">
        <v>6747.64</v>
      </c>
      <c r="F383" s="2">
        <v>6</v>
      </c>
      <c r="G383" s="8" t="s">
        <v>35</v>
      </c>
      <c r="H383" s="6">
        <v>4885.9799999999996</v>
      </c>
      <c r="I383" s="6">
        <v>4949.95</v>
      </c>
      <c r="J383" s="8" t="s">
        <v>17</v>
      </c>
      <c r="K383" s="12">
        <v>0.17</v>
      </c>
      <c r="L383" s="8" t="s">
        <v>27</v>
      </c>
      <c r="M383" s="8" t="s">
        <v>19</v>
      </c>
      <c r="N383" s="10" t="s">
        <v>40</v>
      </c>
      <c r="O383" s="17">
        <f xml:space="preserve"> (Tabla1[[#This Row],[Unit_Price]] - Tabla1[[#This Row],[Unit_Cost]] ) * Tabla1[[#This Row],[Quantity_Sold]]</f>
        <v>383.82000000000153</v>
      </c>
      <c r="P383" s="12">
        <f>Tabla1[[#This Row],[Profit]] / Tabla1[[#This Row],[Sales_Calculated]]</f>
        <v>1.2923362862251186E-2</v>
      </c>
      <c r="Q383" s="20">
        <f xml:space="preserve"> Tabla1[[#This Row],[Unit_Price]] * Tabla1[[#This Row],[Quantity_Sold]]</f>
        <v>29699.699999999997</v>
      </c>
    </row>
    <row r="384" spans="1:17" x14ac:dyDescent="0.3">
      <c r="A384" s="2">
        <v>1063</v>
      </c>
      <c r="B384" s="1">
        <v>45128</v>
      </c>
      <c r="C384" s="8" t="s">
        <v>14</v>
      </c>
      <c r="D384" s="8" t="s">
        <v>34</v>
      </c>
      <c r="E384" s="6">
        <v>6359.59</v>
      </c>
      <c r="F384" s="2">
        <v>32</v>
      </c>
      <c r="G384" s="8" t="s">
        <v>35</v>
      </c>
      <c r="H384" s="6">
        <v>975.31</v>
      </c>
      <c r="I384" s="6">
        <v>1176.17</v>
      </c>
      <c r="J384" s="8" t="s">
        <v>30</v>
      </c>
      <c r="K384" s="12">
        <v>0.22</v>
      </c>
      <c r="L384" s="8" t="s">
        <v>27</v>
      </c>
      <c r="M384" s="8" t="s">
        <v>22</v>
      </c>
      <c r="N384" s="10" t="s">
        <v>46</v>
      </c>
      <c r="O384" s="17">
        <f xml:space="preserve"> (Tabla1[[#This Row],[Unit_Price]] - Tabla1[[#This Row],[Unit_Cost]] ) * Tabla1[[#This Row],[Quantity_Sold]]</f>
        <v>6427.5200000000041</v>
      </c>
      <c r="P384" s="12">
        <f>Tabla1[[#This Row],[Profit]] / Tabla1[[#This Row],[Sales_Calculated]]</f>
        <v>0.17077463291871084</v>
      </c>
      <c r="Q384" s="20">
        <f xml:space="preserve"> Tabla1[[#This Row],[Unit_Price]] * Tabla1[[#This Row],[Quantity_Sold]]</f>
        <v>37637.440000000002</v>
      </c>
    </row>
    <row r="385" spans="1:17" x14ac:dyDescent="0.3">
      <c r="A385" s="2">
        <v>1085</v>
      </c>
      <c r="B385" s="1">
        <v>45084</v>
      </c>
      <c r="C385" s="8" t="s">
        <v>33</v>
      </c>
      <c r="D385" s="8" t="s">
        <v>34</v>
      </c>
      <c r="E385" s="6">
        <v>2070.02</v>
      </c>
      <c r="F385" s="2">
        <v>42</v>
      </c>
      <c r="G385" s="8" t="s">
        <v>29</v>
      </c>
      <c r="H385" s="6">
        <v>2254.11</v>
      </c>
      <c r="I385" s="6">
        <v>2382.23</v>
      </c>
      <c r="J385" s="8" t="s">
        <v>17</v>
      </c>
      <c r="K385" s="12">
        <v>0.15</v>
      </c>
      <c r="L385" s="8" t="s">
        <v>31</v>
      </c>
      <c r="M385" s="8" t="s">
        <v>22</v>
      </c>
      <c r="N385" s="10" t="s">
        <v>36</v>
      </c>
      <c r="O385" s="17">
        <f xml:space="preserve"> (Tabla1[[#This Row],[Unit_Price]] - Tabla1[[#This Row],[Unit_Cost]] ) * Tabla1[[#This Row],[Quantity_Sold]]</f>
        <v>5381.0399999999954</v>
      </c>
      <c r="P385" s="12">
        <f>Tabla1[[#This Row],[Profit]] / Tabla1[[#This Row],[Sales_Calculated]]</f>
        <v>5.3781540825193153E-2</v>
      </c>
      <c r="Q385" s="20">
        <f xml:space="preserve"> Tabla1[[#This Row],[Unit_Price]] * Tabla1[[#This Row],[Quantity_Sold]]</f>
        <v>100053.66</v>
      </c>
    </row>
    <row r="386" spans="1:17" x14ac:dyDescent="0.3">
      <c r="A386" s="2">
        <v>1032</v>
      </c>
      <c r="B386" s="1">
        <v>45046</v>
      </c>
      <c r="C386" s="8" t="s">
        <v>42</v>
      </c>
      <c r="D386" s="8" t="s">
        <v>21</v>
      </c>
      <c r="E386" s="6">
        <v>4241.51</v>
      </c>
      <c r="F386" s="2">
        <v>18</v>
      </c>
      <c r="G386" s="8" t="s">
        <v>35</v>
      </c>
      <c r="H386" s="6">
        <v>2466.1799999999998</v>
      </c>
      <c r="I386" s="6">
        <v>2483.87</v>
      </c>
      <c r="J386" s="8" t="s">
        <v>17</v>
      </c>
      <c r="K386" s="12">
        <v>0.08</v>
      </c>
      <c r="L386" s="8" t="s">
        <v>18</v>
      </c>
      <c r="M386" s="8" t="s">
        <v>19</v>
      </c>
      <c r="N386" s="10" t="s">
        <v>51</v>
      </c>
      <c r="O386" s="17">
        <f xml:space="preserve"> (Tabla1[[#This Row],[Unit_Price]] - Tabla1[[#This Row],[Unit_Cost]] ) * Tabla1[[#This Row],[Quantity_Sold]]</f>
        <v>318.42000000000098</v>
      </c>
      <c r="P386" s="12">
        <f>Tabla1[[#This Row],[Profit]] / Tabla1[[#This Row],[Sales_Calculated]]</f>
        <v>7.121950826734111E-3</v>
      </c>
      <c r="Q386" s="20">
        <f xml:space="preserve"> Tabla1[[#This Row],[Unit_Price]] * Tabla1[[#This Row],[Quantity_Sold]]</f>
        <v>44709.659999999996</v>
      </c>
    </row>
    <row r="387" spans="1:17" x14ac:dyDescent="0.3">
      <c r="A387" s="2">
        <v>1087</v>
      </c>
      <c r="B387" s="1">
        <v>44985</v>
      </c>
      <c r="C387" s="8" t="s">
        <v>42</v>
      </c>
      <c r="D387" s="8" t="s">
        <v>21</v>
      </c>
      <c r="E387" s="6">
        <v>7534.3</v>
      </c>
      <c r="F387" s="2">
        <v>15</v>
      </c>
      <c r="G387" s="8" t="s">
        <v>16</v>
      </c>
      <c r="H387" s="6">
        <v>4074.66</v>
      </c>
      <c r="I387" s="6">
        <v>4261.1099999999997</v>
      </c>
      <c r="J387" s="8" t="s">
        <v>17</v>
      </c>
      <c r="K387" s="12">
        <v>0.05</v>
      </c>
      <c r="L387" s="8" t="s">
        <v>31</v>
      </c>
      <c r="M387" s="8" t="s">
        <v>22</v>
      </c>
      <c r="N387" s="10" t="s">
        <v>51</v>
      </c>
      <c r="O387" s="17">
        <f xml:space="preserve"> (Tabla1[[#This Row],[Unit_Price]] - Tabla1[[#This Row],[Unit_Cost]] ) * Tabla1[[#This Row],[Quantity_Sold]]</f>
        <v>2796.7499999999973</v>
      </c>
      <c r="P387" s="12">
        <f>Tabla1[[#This Row],[Profit]] / Tabla1[[#This Row],[Sales_Calculated]]</f>
        <v>4.375620436928402E-2</v>
      </c>
      <c r="Q387" s="20">
        <f xml:space="preserve"> Tabla1[[#This Row],[Unit_Price]] * Tabla1[[#This Row],[Quantity_Sold]]</f>
        <v>63916.649999999994</v>
      </c>
    </row>
    <row r="388" spans="1:17" x14ac:dyDescent="0.3">
      <c r="A388" s="2">
        <v>1033</v>
      </c>
      <c r="B388" s="1">
        <v>45141</v>
      </c>
      <c r="C388" s="8" t="s">
        <v>42</v>
      </c>
      <c r="D388" s="8" t="s">
        <v>21</v>
      </c>
      <c r="E388" s="6">
        <v>1103.5899999999999</v>
      </c>
      <c r="F388" s="2">
        <v>40</v>
      </c>
      <c r="G388" s="8" t="s">
        <v>26</v>
      </c>
      <c r="H388" s="6">
        <v>541.19000000000005</v>
      </c>
      <c r="I388" s="6">
        <v>595.20000000000005</v>
      </c>
      <c r="J388" s="8" t="s">
        <v>17</v>
      </c>
      <c r="K388" s="12">
        <v>0.19</v>
      </c>
      <c r="L388" s="8" t="s">
        <v>31</v>
      </c>
      <c r="M388" s="8" t="s">
        <v>19</v>
      </c>
      <c r="N388" s="10" t="s">
        <v>51</v>
      </c>
      <c r="O388" s="17">
        <f xml:space="preserve"> (Tabla1[[#This Row],[Unit_Price]] - Tabla1[[#This Row],[Unit_Cost]] ) * Tabla1[[#This Row],[Quantity_Sold]]</f>
        <v>2160.3999999999996</v>
      </c>
      <c r="P388" s="12">
        <f>Tabla1[[#This Row],[Profit]] / Tabla1[[#This Row],[Sales_Calculated]]</f>
        <v>9.0742607526881708E-2</v>
      </c>
      <c r="Q388" s="20">
        <f xml:space="preserve"> Tabla1[[#This Row],[Unit_Price]] * Tabla1[[#This Row],[Quantity_Sold]]</f>
        <v>23808</v>
      </c>
    </row>
    <row r="389" spans="1:17" x14ac:dyDescent="0.3">
      <c r="A389" s="2">
        <v>1067</v>
      </c>
      <c r="B389" s="1">
        <v>45054</v>
      </c>
      <c r="C389" s="8" t="s">
        <v>33</v>
      </c>
      <c r="D389" s="8" t="s">
        <v>15</v>
      </c>
      <c r="E389" s="6">
        <v>2850.74</v>
      </c>
      <c r="F389" s="2">
        <v>32</v>
      </c>
      <c r="G389" s="8" t="s">
        <v>26</v>
      </c>
      <c r="H389" s="6">
        <v>2171.79</v>
      </c>
      <c r="I389" s="6">
        <v>2307.64</v>
      </c>
      <c r="J389" s="8" t="s">
        <v>17</v>
      </c>
      <c r="K389" s="12">
        <v>0.22</v>
      </c>
      <c r="L389" s="8" t="s">
        <v>27</v>
      </c>
      <c r="M389" s="8" t="s">
        <v>19</v>
      </c>
      <c r="N389" s="10" t="s">
        <v>53</v>
      </c>
      <c r="O389" s="17">
        <f xml:space="preserve"> (Tabla1[[#This Row],[Unit_Price]] - Tabla1[[#This Row],[Unit_Cost]] ) * Tabla1[[#This Row],[Quantity_Sold]]</f>
        <v>4347.1999999999971</v>
      </c>
      <c r="P389" s="12">
        <f>Tabla1[[#This Row],[Profit]] / Tabla1[[#This Row],[Sales_Calculated]]</f>
        <v>5.8869667712468113E-2</v>
      </c>
      <c r="Q389" s="20">
        <f xml:space="preserve"> Tabla1[[#This Row],[Unit_Price]] * Tabla1[[#This Row],[Quantity_Sold]]</f>
        <v>73844.479999999996</v>
      </c>
    </row>
    <row r="390" spans="1:17" x14ac:dyDescent="0.3">
      <c r="A390" s="2">
        <v>1018</v>
      </c>
      <c r="B390" s="1">
        <v>45150</v>
      </c>
      <c r="C390" s="8" t="s">
        <v>33</v>
      </c>
      <c r="D390" s="8" t="s">
        <v>15</v>
      </c>
      <c r="E390" s="6">
        <v>2835.56</v>
      </c>
      <c r="F390" s="2">
        <v>9</v>
      </c>
      <c r="G390" s="8" t="s">
        <v>35</v>
      </c>
      <c r="H390" s="6">
        <v>3161.09</v>
      </c>
      <c r="I390" s="6">
        <v>3216.42</v>
      </c>
      <c r="J390" s="8" t="s">
        <v>30</v>
      </c>
      <c r="K390" s="12">
        <v>0.17</v>
      </c>
      <c r="L390" s="8" t="s">
        <v>27</v>
      </c>
      <c r="M390" s="8" t="s">
        <v>19</v>
      </c>
      <c r="N390" s="10" t="s">
        <v>53</v>
      </c>
      <c r="O390" s="17">
        <f xml:space="preserve"> (Tabla1[[#This Row],[Unit_Price]] - Tabla1[[#This Row],[Unit_Cost]] ) * Tabla1[[#This Row],[Quantity_Sold]]</f>
        <v>497.96999999999935</v>
      </c>
      <c r="P390" s="12">
        <f>Tabla1[[#This Row],[Profit]] / Tabla1[[#This Row],[Sales_Calculated]]</f>
        <v>1.7202355413783003E-2</v>
      </c>
      <c r="Q390" s="20">
        <f xml:space="preserve"> Tabla1[[#This Row],[Unit_Price]] * Tabla1[[#This Row],[Quantity_Sold]]</f>
        <v>28947.78</v>
      </c>
    </row>
    <row r="391" spans="1:17" x14ac:dyDescent="0.3">
      <c r="A391" s="2">
        <v>1025</v>
      </c>
      <c r="B391" s="1">
        <v>45135</v>
      </c>
      <c r="C391" s="8" t="s">
        <v>24</v>
      </c>
      <c r="D391" s="8" t="s">
        <v>21</v>
      </c>
      <c r="E391" s="6">
        <v>4376.99</v>
      </c>
      <c r="F391" s="2">
        <v>37</v>
      </c>
      <c r="G391" s="8" t="s">
        <v>35</v>
      </c>
      <c r="H391" s="6">
        <v>1115.02</v>
      </c>
      <c r="I391" s="6">
        <v>1174.48</v>
      </c>
      <c r="J391" s="8" t="s">
        <v>30</v>
      </c>
      <c r="K391" s="12">
        <v>0.22</v>
      </c>
      <c r="L391" s="8" t="s">
        <v>31</v>
      </c>
      <c r="M391" s="8" t="s">
        <v>19</v>
      </c>
      <c r="N391" s="10" t="s">
        <v>47</v>
      </c>
      <c r="O391" s="17">
        <f xml:space="preserve"> (Tabla1[[#This Row],[Unit_Price]] - Tabla1[[#This Row],[Unit_Cost]] ) * Tabla1[[#This Row],[Quantity_Sold]]</f>
        <v>2200.0200000000013</v>
      </c>
      <c r="P391" s="12">
        <f>Tabla1[[#This Row],[Profit]] / Tabla1[[#This Row],[Sales_Calculated]]</f>
        <v>5.0626660309243267E-2</v>
      </c>
      <c r="Q391" s="20">
        <f xml:space="preserve"> Tabla1[[#This Row],[Unit_Price]] * Tabla1[[#This Row],[Quantity_Sold]]</f>
        <v>43455.76</v>
      </c>
    </row>
    <row r="392" spans="1:17" x14ac:dyDescent="0.3">
      <c r="A392" s="2">
        <v>1095</v>
      </c>
      <c r="B392" s="1">
        <v>45041</v>
      </c>
      <c r="C392" s="8" t="s">
        <v>14</v>
      </c>
      <c r="D392" s="8" t="s">
        <v>25</v>
      </c>
      <c r="E392" s="6">
        <v>9805.65</v>
      </c>
      <c r="F392" s="2">
        <v>10</v>
      </c>
      <c r="G392" s="8" t="s">
        <v>35</v>
      </c>
      <c r="H392" s="6">
        <v>3155.97</v>
      </c>
      <c r="I392" s="6">
        <v>3263.49</v>
      </c>
      <c r="J392" s="8" t="s">
        <v>17</v>
      </c>
      <c r="K392" s="12">
        <v>0.04</v>
      </c>
      <c r="L392" s="8" t="s">
        <v>31</v>
      </c>
      <c r="M392" s="8" t="s">
        <v>19</v>
      </c>
      <c r="N392" s="10" t="s">
        <v>32</v>
      </c>
      <c r="O392" s="17">
        <f xml:space="preserve"> (Tabla1[[#This Row],[Unit_Price]] - Tabla1[[#This Row],[Unit_Cost]] ) * Tabla1[[#This Row],[Quantity_Sold]]</f>
        <v>1075.1999999999998</v>
      </c>
      <c r="P392" s="12">
        <f>Tabla1[[#This Row],[Profit]] / Tabla1[[#This Row],[Sales_Calculated]]</f>
        <v>3.2946324333765382E-2</v>
      </c>
      <c r="Q392" s="20">
        <f xml:space="preserve"> Tabla1[[#This Row],[Unit_Price]] * Tabla1[[#This Row],[Quantity_Sold]]</f>
        <v>32634.899999999998</v>
      </c>
    </row>
    <row r="393" spans="1:17" x14ac:dyDescent="0.3">
      <c r="A393" s="2">
        <v>1054</v>
      </c>
      <c r="B393" s="1">
        <v>45135</v>
      </c>
      <c r="C393" s="8" t="s">
        <v>24</v>
      </c>
      <c r="D393" s="8" t="s">
        <v>34</v>
      </c>
      <c r="E393" s="6">
        <v>768.28</v>
      </c>
      <c r="F393" s="2">
        <v>20</v>
      </c>
      <c r="G393" s="8" t="s">
        <v>29</v>
      </c>
      <c r="H393" s="6">
        <v>4622.1400000000003</v>
      </c>
      <c r="I393" s="6">
        <v>5122.07</v>
      </c>
      <c r="J393" s="8" t="s">
        <v>30</v>
      </c>
      <c r="K393" s="12">
        <v>0.26</v>
      </c>
      <c r="L393" s="8" t="s">
        <v>18</v>
      </c>
      <c r="M393" s="8" t="s">
        <v>22</v>
      </c>
      <c r="N393" s="10" t="s">
        <v>50</v>
      </c>
      <c r="O393" s="17">
        <f xml:space="preserve"> (Tabla1[[#This Row],[Unit_Price]] - Tabla1[[#This Row],[Unit_Cost]] ) * Tabla1[[#This Row],[Quantity_Sold]]</f>
        <v>9998.5999999999876</v>
      </c>
      <c r="P393" s="12">
        <f>Tabla1[[#This Row],[Profit]] / Tabla1[[#This Row],[Sales_Calculated]]</f>
        <v>9.7603117489608579E-2</v>
      </c>
      <c r="Q393" s="20">
        <f xml:space="preserve"> Tabla1[[#This Row],[Unit_Price]] * Tabla1[[#This Row],[Quantity_Sold]]</f>
        <v>102441.4</v>
      </c>
    </row>
    <row r="394" spans="1:17" x14ac:dyDescent="0.3">
      <c r="A394" s="2">
        <v>1058</v>
      </c>
      <c r="B394" s="1">
        <v>44940</v>
      </c>
      <c r="C394" s="8" t="s">
        <v>14</v>
      </c>
      <c r="D394" s="8" t="s">
        <v>34</v>
      </c>
      <c r="E394" s="6">
        <v>5235.1400000000003</v>
      </c>
      <c r="F394" s="2">
        <v>6</v>
      </c>
      <c r="G394" s="8" t="s">
        <v>26</v>
      </c>
      <c r="H394" s="6">
        <v>4987.71</v>
      </c>
      <c r="I394" s="6">
        <v>4998.78</v>
      </c>
      <c r="J394" s="8" t="s">
        <v>17</v>
      </c>
      <c r="K394" s="12">
        <v>0.17</v>
      </c>
      <c r="L394" s="8" t="s">
        <v>18</v>
      </c>
      <c r="M394" s="8" t="s">
        <v>22</v>
      </c>
      <c r="N394" s="10" t="s">
        <v>46</v>
      </c>
      <c r="O394" s="17">
        <f xml:space="preserve"> (Tabla1[[#This Row],[Unit_Price]] - Tabla1[[#This Row],[Unit_Cost]] ) * Tabla1[[#This Row],[Quantity_Sold]]</f>
        <v>66.419999999998254</v>
      </c>
      <c r="P394" s="12">
        <f>Tabla1[[#This Row],[Profit]] / Tabla1[[#This Row],[Sales_Calculated]]</f>
        <v>2.214540347844816E-3</v>
      </c>
      <c r="Q394" s="20">
        <f xml:space="preserve"> Tabla1[[#This Row],[Unit_Price]] * Tabla1[[#This Row],[Quantity_Sold]]</f>
        <v>29992.68</v>
      </c>
    </row>
    <row r="395" spans="1:17" x14ac:dyDescent="0.3">
      <c r="A395" s="2">
        <v>1067</v>
      </c>
      <c r="B395" s="1">
        <v>44935</v>
      </c>
      <c r="C395" s="8" t="s">
        <v>33</v>
      </c>
      <c r="D395" s="8" t="s">
        <v>15</v>
      </c>
      <c r="E395" s="6">
        <v>1875.71</v>
      </c>
      <c r="F395" s="2">
        <v>48</v>
      </c>
      <c r="G395" s="8" t="s">
        <v>35</v>
      </c>
      <c r="H395" s="6">
        <v>210.63</v>
      </c>
      <c r="I395" s="6">
        <v>533.57999999999902</v>
      </c>
      <c r="J395" s="8" t="s">
        <v>30</v>
      </c>
      <c r="K395" s="12">
        <v>0.04</v>
      </c>
      <c r="L395" s="8" t="s">
        <v>27</v>
      </c>
      <c r="M395" s="8" t="s">
        <v>19</v>
      </c>
      <c r="N395" s="10" t="s">
        <v>53</v>
      </c>
      <c r="O395" s="17">
        <f xml:space="preserve"> (Tabla1[[#This Row],[Unit_Price]] - Tabla1[[#This Row],[Unit_Cost]] ) * Tabla1[[#This Row],[Quantity_Sold]]</f>
        <v>15501.599999999953</v>
      </c>
      <c r="P395" s="12">
        <f>Tabla1[[#This Row],[Profit]] / Tabla1[[#This Row],[Sales_Calculated]]</f>
        <v>0.60525132126391468</v>
      </c>
      <c r="Q395" s="20">
        <f xml:space="preserve"> Tabla1[[#This Row],[Unit_Price]] * Tabla1[[#This Row],[Quantity_Sold]]</f>
        <v>25611.839999999953</v>
      </c>
    </row>
    <row r="396" spans="1:17" x14ac:dyDescent="0.3">
      <c r="A396" s="2">
        <v>1046</v>
      </c>
      <c r="B396" s="1">
        <v>44966</v>
      </c>
      <c r="C396" s="8" t="s">
        <v>33</v>
      </c>
      <c r="D396" s="8" t="s">
        <v>34</v>
      </c>
      <c r="E396" s="6">
        <v>9709.7000000000007</v>
      </c>
      <c r="F396" s="2">
        <v>3</v>
      </c>
      <c r="G396" s="8" t="s">
        <v>16</v>
      </c>
      <c r="H396" s="6">
        <v>1216.1600000000001</v>
      </c>
      <c r="I396" s="6">
        <v>1295.3699999999999</v>
      </c>
      <c r="J396" s="8" t="s">
        <v>30</v>
      </c>
      <c r="K396" s="12">
        <v>0.14000000000000001</v>
      </c>
      <c r="L396" s="8" t="s">
        <v>18</v>
      </c>
      <c r="M396" s="8" t="s">
        <v>22</v>
      </c>
      <c r="N396" s="10" t="s">
        <v>36</v>
      </c>
      <c r="O396" s="17">
        <f xml:space="preserve"> (Tabla1[[#This Row],[Unit_Price]] - Tabla1[[#This Row],[Unit_Cost]] ) * Tabla1[[#This Row],[Quantity_Sold]]</f>
        <v>237.62999999999943</v>
      </c>
      <c r="P396" s="12">
        <f>Tabla1[[#This Row],[Profit]] / Tabla1[[#This Row],[Sales_Calculated]]</f>
        <v>6.11485521511227E-2</v>
      </c>
      <c r="Q396" s="20">
        <f xml:space="preserve"> Tabla1[[#This Row],[Unit_Price]] * Tabla1[[#This Row],[Quantity_Sold]]</f>
        <v>3886.1099999999997</v>
      </c>
    </row>
    <row r="397" spans="1:17" x14ac:dyDescent="0.3">
      <c r="A397" s="2">
        <v>1024</v>
      </c>
      <c r="B397" s="1">
        <v>45163</v>
      </c>
      <c r="C397" s="8" t="s">
        <v>24</v>
      </c>
      <c r="D397" s="8" t="s">
        <v>25</v>
      </c>
      <c r="E397" s="6">
        <v>1221.7</v>
      </c>
      <c r="F397" s="2">
        <v>42</v>
      </c>
      <c r="G397" s="8" t="s">
        <v>35</v>
      </c>
      <c r="H397" s="6">
        <v>1586.02</v>
      </c>
      <c r="I397" s="6">
        <v>2047.13</v>
      </c>
      <c r="J397" s="8" t="s">
        <v>30</v>
      </c>
      <c r="K397" s="12">
        <v>0.25</v>
      </c>
      <c r="L397" s="8" t="s">
        <v>18</v>
      </c>
      <c r="M397" s="8" t="s">
        <v>22</v>
      </c>
      <c r="N397" s="10" t="s">
        <v>28</v>
      </c>
      <c r="O397" s="17">
        <f xml:space="preserve"> (Tabla1[[#This Row],[Unit_Price]] - Tabla1[[#This Row],[Unit_Cost]] ) * Tabla1[[#This Row],[Quantity_Sold]]</f>
        <v>19366.620000000006</v>
      </c>
      <c r="P397" s="12">
        <f>Tabla1[[#This Row],[Profit]] / Tabla1[[#This Row],[Sales_Calculated]]</f>
        <v>0.2252470531915414</v>
      </c>
      <c r="Q397" s="20">
        <f xml:space="preserve"> Tabla1[[#This Row],[Unit_Price]] * Tabla1[[#This Row],[Quantity_Sold]]</f>
        <v>85979.46</v>
      </c>
    </row>
    <row r="398" spans="1:17" x14ac:dyDescent="0.3">
      <c r="A398" s="2">
        <v>1032</v>
      </c>
      <c r="B398" s="1">
        <v>45207</v>
      </c>
      <c r="C398" s="8" t="s">
        <v>38</v>
      </c>
      <c r="D398" s="8" t="s">
        <v>34</v>
      </c>
      <c r="E398" s="6">
        <v>4095.65</v>
      </c>
      <c r="F398" s="2">
        <v>11</v>
      </c>
      <c r="G398" s="8" t="s">
        <v>26</v>
      </c>
      <c r="H398" s="6">
        <v>2025.67</v>
      </c>
      <c r="I398" s="6">
        <v>2081.5500000000002</v>
      </c>
      <c r="J398" s="8" t="s">
        <v>30</v>
      </c>
      <c r="K398" s="12">
        <v>0.27</v>
      </c>
      <c r="L398" s="8" t="s">
        <v>27</v>
      </c>
      <c r="M398" s="8" t="s">
        <v>19</v>
      </c>
      <c r="N398" s="10" t="s">
        <v>48</v>
      </c>
      <c r="O398" s="17">
        <f xml:space="preserve"> (Tabla1[[#This Row],[Unit_Price]] - Tabla1[[#This Row],[Unit_Cost]] ) * Tabla1[[#This Row],[Quantity_Sold]]</f>
        <v>614.6800000000012</v>
      </c>
      <c r="P398" s="12">
        <f>Tabla1[[#This Row],[Profit]] / Tabla1[[#This Row],[Sales_Calculated]]</f>
        <v>2.6845379644976148E-2</v>
      </c>
      <c r="Q398" s="20">
        <f xml:space="preserve"> Tabla1[[#This Row],[Unit_Price]] * Tabla1[[#This Row],[Quantity_Sold]]</f>
        <v>22897.050000000003</v>
      </c>
    </row>
    <row r="399" spans="1:17" x14ac:dyDescent="0.3">
      <c r="A399" s="2">
        <v>1047</v>
      </c>
      <c r="B399" s="1">
        <v>45285</v>
      </c>
      <c r="C399" s="8" t="s">
        <v>24</v>
      </c>
      <c r="D399" s="8" t="s">
        <v>15</v>
      </c>
      <c r="E399" s="6">
        <v>7405.06</v>
      </c>
      <c r="F399" s="2">
        <v>43</v>
      </c>
      <c r="G399" s="8" t="s">
        <v>35</v>
      </c>
      <c r="H399" s="6">
        <v>1249.17</v>
      </c>
      <c r="I399" s="6">
        <v>1727.15</v>
      </c>
      <c r="J399" s="8" t="s">
        <v>30</v>
      </c>
      <c r="K399" s="12">
        <v>0.08</v>
      </c>
      <c r="L399" s="8" t="s">
        <v>18</v>
      </c>
      <c r="M399" s="8" t="s">
        <v>22</v>
      </c>
      <c r="N399" s="10" t="s">
        <v>45</v>
      </c>
      <c r="O399" s="17">
        <f xml:space="preserve"> (Tabla1[[#This Row],[Unit_Price]] - Tabla1[[#This Row],[Unit_Cost]] ) * Tabla1[[#This Row],[Quantity_Sold]]</f>
        <v>20553.14</v>
      </c>
      <c r="P399" s="12">
        <f>Tabla1[[#This Row],[Profit]] / Tabla1[[#This Row],[Sales_Calculated]]</f>
        <v>0.27674492661320671</v>
      </c>
      <c r="Q399" s="20">
        <f xml:space="preserve"> Tabla1[[#This Row],[Unit_Price]] * Tabla1[[#This Row],[Quantity_Sold]]</f>
        <v>74267.45</v>
      </c>
    </row>
    <row r="400" spans="1:17" x14ac:dyDescent="0.3">
      <c r="A400" s="2">
        <v>1086</v>
      </c>
      <c r="B400" s="1">
        <v>45127</v>
      </c>
      <c r="C400" s="8" t="s">
        <v>14</v>
      </c>
      <c r="D400" s="8" t="s">
        <v>15</v>
      </c>
      <c r="E400" s="6">
        <v>7075.09</v>
      </c>
      <c r="F400" s="2">
        <v>17</v>
      </c>
      <c r="G400" s="8" t="s">
        <v>26</v>
      </c>
      <c r="H400" s="6">
        <v>1057.27</v>
      </c>
      <c r="I400" s="6">
        <v>1366.62</v>
      </c>
      <c r="J400" s="8" t="s">
        <v>30</v>
      </c>
      <c r="K400" s="12">
        <v>0.21</v>
      </c>
      <c r="L400" s="8" t="s">
        <v>31</v>
      </c>
      <c r="M400" s="8" t="s">
        <v>22</v>
      </c>
      <c r="N400" s="10" t="s">
        <v>20</v>
      </c>
      <c r="O400" s="17">
        <f xml:space="preserve"> (Tabla1[[#This Row],[Unit_Price]] - Tabla1[[#This Row],[Unit_Cost]] ) * Tabla1[[#This Row],[Quantity_Sold]]</f>
        <v>5258.9499999999989</v>
      </c>
      <c r="P400" s="12">
        <f>Tabla1[[#This Row],[Profit]] / Tabla1[[#This Row],[Sales_Calculated]]</f>
        <v>0.2263613879498324</v>
      </c>
      <c r="Q400" s="20">
        <f xml:space="preserve"> Tabla1[[#This Row],[Unit_Price]] * Tabla1[[#This Row],[Quantity_Sold]]</f>
        <v>23232.539999999997</v>
      </c>
    </row>
    <row r="401" spans="1:17" x14ac:dyDescent="0.3">
      <c r="A401" s="2">
        <v>1023</v>
      </c>
      <c r="B401" s="1">
        <v>45172</v>
      </c>
      <c r="C401" s="8" t="s">
        <v>24</v>
      </c>
      <c r="D401" s="8" t="s">
        <v>25</v>
      </c>
      <c r="E401" s="6">
        <v>4285.01</v>
      </c>
      <c r="F401" s="2">
        <v>32</v>
      </c>
      <c r="G401" s="8" t="s">
        <v>35</v>
      </c>
      <c r="H401" s="6">
        <v>4775.04</v>
      </c>
      <c r="I401" s="6">
        <v>4785.66</v>
      </c>
      <c r="J401" s="8" t="s">
        <v>30</v>
      </c>
      <c r="K401" s="12">
        <v>0.03</v>
      </c>
      <c r="L401" s="8" t="s">
        <v>18</v>
      </c>
      <c r="M401" s="8" t="s">
        <v>19</v>
      </c>
      <c r="N401" s="10" t="s">
        <v>28</v>
      </c>
      <c r="O401" s="17">
        <f xml:space="preserve"> (Tabla1[[#This Row],[Unit_Price]] - Tabla1[[#This Row],[Unit_Cost]] ) * Tabla1[[#This Row],[Quantity_Sold]]</f>
        <v>339.83999999999651</v>
      </c>
      <c r="P401" s="12">
        <f>Tabla1[[#This Row],[Profit]] / Tabla1[[#This Row],[Sales_Calculated]]</f>
        <v>2.2191296498288412E-3</v>
      </c>
      <c r="Q401" s="20">
        <f xml:space="preserve"> Tabla1[[#This Row],[Unit_Price]] * Tabla1[[#This Row],[Quantity_Sold]]</f>
        <v>153141.12</v>
      </c>
    </row>
    <row r="402" spans="1:17" x14ac:dyDescent="0.3">
      <c r="A402" s="2">
        <v>1066</v>
      </c>
      <c r="B402" s="1">
        <v>45204</v>
      </c>
      <c r="C402" s="8" t="s">
        <v>42</v>
      </c>
      <c r="D402" s="8" t="s">
        <v>25</v>
      </c>
      <c r="E402" s="6">
        <v>3530.59</v>
      </c>
      <c r="F402" s="2">
        <v>4</v>
      </c>
      <c r="G402" s="8" t="s">
        <v>16</v>
      </c>
      <c r="H402" s="6">
        <v>4596.68</v>
      </c>
      <c r="I402" s="6">
        <v>5044.74</v>
      </c>
      <c r="J402" s="8" t="s">
        <v>30</v>
      </c>
      <c r="K402" s="12">
        <v>0.01</v>
      </c>
      <c r="L402" s="8" t="s">
        <v>27</v>
      </c>
      <c r="M402" s="8" t="s">
        <v>19</v>
      </c>
      <c r="N402" s="10" t="s">
        <v>43</v>
      </c>
      <c r="O402" s="17">
        <f xml:space="preserve"> (Tabla1[[#This Row],[Unit_Price]] - Tabla1[[#This Row],[Unit_Cost]] ) * Tabla1[[#This Row],[Quantity_Sold]]</f>
        <v>1792.239999999998</v>
      </c>
      <c r="P402" s="12">
        <f>Tabla1[[#This Row],[Profit]] / Tabla1[[#This Row],[Sales_Calculated]]</f>
        <v>8.8817263129516988E-2</v>
      </c>
      <c r="Q402" s="20">
        <f xml:space="preserve"> Tabla1[[#This Row],[Unit_Price]] * Tabla1[[#This Row],[Quantity_Sold]]</f>
        <v>20178.96</v>
      </c>
    </row>
    <row r="403" spans="1:17" x14ac:dyDescent="0.3">
      <c r="A403" s="2">
        <v>1027</v>
      </c>
      <c r="B403" s="1">
        <v>45161</v>
      </c>
      <c r="C403" s="8" t="s">
        <v>14</v>
      </c>
      <c r="D403" s="8" t="s">
        <v>34</v>
      </c>
      <c r="E403" s="6">
        <v>4036.36</v>
      </c>
      <c r="F403" s="2">
        <v>4</v>
      </c>
      <c r="G403" s="8" t="s">
        <v>35</v>
      </c>
      <c r="H403" s="6">
        <v>282.61</v>
      </c>
      <c r="I403" s="6">
        <v>548.25</v>
      </c>
      <c r="J403" s="8" t="s">
        <v>30</v>
      </c>
      <c r="K403" s="12">
        <v>0.17</v>
      </c>
      <c r="L403" s="8" t="s">
        <v>31</v>
      </c>
      <c r="M403" s="8" t="s">
        <v>19</v>
      </c>
      <c r="N403" s="10" t="s">
        <v>46</v>
      </c>
      <c r="O403" s="17">
        <f xml:space="preserve"> (Tabla1[[#This Row],[Unit_Price]] - Tabla1[[#This Row],[Unit_Cost]] ) * Tabla1[[#This Row],[Quantity_Sold]]</f>
        <v>1062.56</v>
      </c>
      <c r="P403" s="12">
        <f>Tabla1[[#This Row],[Profit]] / Tabla1[[#This Row],[Sales_Calculated]]</f>
        <v>0.48452348381212945</v>
      </c>
      <c r="Q403" s="20">
        <f xml:space="preserve"> Tabla1[[#This Row],[Unit_Price]] * Tabla1[[#This Row],[Quantity_Sold]]</f>
        <v>2193</v>
      </c>
    </row>
    <row r="404" spans="1:17" x14ac:dyDescent="0.3">
      <c r="A404" s="2">
        <v>1002</v>
      </c>
      <c r="B404" s="1">
        <v>44930</v>
      </c>
      <c r="C404" s="8" t="s">
        <v>14</v>
      </c>
      <c r="D404" s="8" t="s">
        <v>34</v>
      </c>
      <c r="E404" s="6">
        <v>2716.34</v>
      </c>
      <c r="F404" s="2">
        <v>17</v>
      </c>
      <c r="G404" s="8" t="s">
        <v>16</v>
      </c>
      <c r="H404" s="6">
        <v>1727.12</v>
      </c>
      <c r="I404" s="6">
        <v>1865.83</v>
      </c>
      <c r="J404" s="8" t="s">
        <v>30</v>
      </c>
      <c r="K404" s="12">
        <v>0.21</v>
      </c>
      <c r="L404" s="8" t="s">
        <v>18</v>
      </c>
      <c r="M404" s="8" t="s">
        <v>19</v>
      </c>
      <c r="N404" s="10" t="s">
        <v>46</v>
      </c>
      <c r="O404" s="17">
        <f xml:space="preserve"> (Tabla1[[#This Row],[Unit_Price]] - Tabla1[[#This Row],[Unit_Cost]] ) * Tabla1[[#This Row],[Quantity_Sold]]</f>
        <v>2358.0700000000006</v>
      </c>
      <c r="P404" s="12">
        <f>Tabla1[[#This Row],[Profit]] / Tabla1[[#This Row],[Sales_Calculated]]</f>
        <v>7.4342249829834464E-2</v>
      </c>
      <c r="Q404" s="20">
        <f xml:space="preserve"> Tabla1[[#This Row],[Unit_Price]] * Tabla1[[#This Row],[Quantity_Sold]]</f>
        <v>31719.11</v>
      </c>
    </row>
    <row r="405" spans="1:17" x14ac:dyDescent="0.3">
      <c r="A405" s="2">
        <v>1090</v>
      </c>
      <c r="B405" s="1">
        <v>45080</v>
      </c>
      <c r="C405" s="8" t="s">
        <v>38</v>
      </c>
      <c r="D405" s="8" t="s">
        <v>15</v>
      </c>
      <c r="E405" s="6">
        <v>2132.8000000000002</v>
      </c>
      <c r="F405" s="2">
        <v>41</v>
      </c>
      <c r="G405" s="8" t="s">
        <v>16</v>
      </c>
      <c r="H405" s="6">
        <v>2055.4899999999998</v>
      </c>
      <c r="I405" s="6">
        <v>2441.46</v>
      </c>
      <c r="J405" s="8" t="s">
        <v>30</v>
      </c>
      <c r="K405" s="12">
        <v>0.24</v>
      </c>
      <c r="L405" s="8" t="s">
        <v>31</v>
      </c>
      <c r="M405" s="8" t="s">
        <v>19</v>
      </c>
      <c r="N405" s="10" t="s">
        <v>40</v>
      </c>
      <c r="O405" s="17">
        <f xml:space="preserve"> (Tabla1[[#This Row],[Unit_Price]] - Tabla1[[#This Row],[Unit_Cost]] ) * Tabla1[[#This Row],[Quantity_Sold]]</f>
        <v>15824.770000000011</v>
      </c>
      <c r="P405" s="12">
        <f>Tabla1[[#This Row],[Profit]] / Tabla1[[#This Row],[Sales_Calculated]]</f>
        <v>0.15808983149426994</v>
      </c>
      <c r="Q405" s="20">
        <f xml:space="preserve"> Tabla1[[#This Row],[Unit_Price]] * Tabla1[[#This Row],[Quantity_Sold]]</f>
        <v>100099.86</v>
      </c>
    </row>
    <row r="406" spans="1:17" x14ac:dyDescent="0.3">
      <c r="A406" s="2">
        <v>1017</v>
      </c>
      <c r="B406" s="1">
        <v>44955</v>
      </c>
      <c r="C406" s="8" t="s">
        <v>33</v>
      </c>
      <c r="D406" s="8" t="s">
        <v>25</v>
      </c>
      <c r="E406" s="6">
        <v>4882.09</v>
      </c>
      <c r="F406" s="2">
        <v>19</v>
      </c>
      <c r="G406" s="8" t="s">
        <v>35</v>
      </c>
      <c r="H406" s="6">
        <v>1233.1199999999999</v>
      </c>
      <c r="I406" s="6">
        <v>1697.1899999999901</v>
      </c>
      <c r="J406" s="8" t="s">
        <v>30</v>
      </c>
      <c r="K406" s="12">
        <v>0.1</v>
      </c>
      <c r="L406" s="8" t="s">
        <v>31</v>
      </c>
      <c r="M406" s="8" t="s">
        <v>19</v>
      </c>
      <c r="N406" s="10" t="s">
        <v>44</v>
      </c>
      <c r="O406" s="17">
        <f xml:space="preserve"> (Tabla1[[#This Row],[Unit_Price]] - Tabla1[[#This Row],[Unit_Cost]] ) * Tabla1[[#This Row],[Quantity_Sold]]</f>
        <v>8817.3299999998126</v>
      </c>
      <c r="P406" s="12">
        <f>Tabla1[[#This Row],[Profit]] / Tabla1[[#This Row],[Sales_Calculated]]</f>
        <v>0.27343432379403182</v>
      </c>
      <c r="Q406" s="20">
        <f xml:space="preserve"> Tabla1[[#This Row],[Unit_Price]] * Tabla1[[#This Row],[Quantity_Sold]]</f>
        <v>32246.609999999811</v>
      </c>
    </row>
    <row r="407" spans="1:17" x14ac:dyDescent="0.3">
      <c r="A407" s="2">
        <v>1033</v>
      </c>
      <c r="B407" s="1">
        <v>45035</v>
      </c>
      <c r="C407" s="8" t="s">
        <v>14</v>
      </c>
      <c r="D407" s="8" t="s">
        <v>25</v>
      </c>
      <c r="E407" s="6">
        <v>2758.48</v>
      </c>
      <c r="F407" s="2">
        <v>5</v>
      </c>
      <c r="G407" s="8" t="s">
        <v>16</v>
      </c>
      <c r="H407" s="6">
        <v>3162.92</v>
      </c>
      <c r="I407" s="6">
        <v>3409.93</v>
      </c>
      <c r="J407" s="8" t="s">
        <v>30</v>
      </c>
      <c r="K407" s="12">
        <v>0</v>
      </c>
      <c r="L407" s="8" t="s">
        <v>18</v>
      </c>
      <c r="M407" s="8" t="s">
        <v>19</v>
      </c>
      <c r="N407" s="10" t="s">
        <v>32</v>
      </c>
      <c r="O407" s="17">
        <f xml:space="preserve"> (Tabla1[[#This Row],[Unit_Price]] - Tabla1[[#This Row],[Unit_Cost]] ) * Tabla1[[#This Row],[Quantity_Sold]]</f>
        <v>1235.0499999999988</v>
      </c>
      <c r="P407" s="12">
        <f>Tabla1[[#This Row],[Profit]] / Tabla1[[#This Row],[Sales_Calculated]]</f>
        <v>7.2438437152668761E-2</v>
      </c>
      <c r="Q407" s="20">
        <f xml:space="preserve"> Tabla1[[#This Row],[Unit_Price]] * Tabla1[[#This Row],[Quantity_Sold]]</f>
        <v>17049.649999999998</v>
      </c>
    </row>
    <row r="408" spans="1:17" x14ac:dyDescent="0.3">
      <c r="A408" s="2">
        <v>1009</v>
      </c>
      <c r="B408" s="1">
        <v>45024</v>
      </c>
      <c r="C408" s="8" t="s">
        <v>33</v>
      </c>
      <c r="D408" s="8" t="s">
        <v>25</v>
      </c>
      <c r="E408" s="6">
        <v>2945.87</v>
      </c>
      <c r="F408" s="2">
        <v>32</v>
      </c>
      <c r="G408" s="8" t="s">
        <v>29</v>
      </c>
      <c r="H408" s="6">
        <v>3219.88</v>
      </c>
      <c r="I408" s="6">
        <v>3384.5</v>
      </c>
      <c r="J408" s="8" t="s">
        <v>17</v>
      </c>
      <c r="K408" s="12">
        <v>0.14000000000000001</v>
      </c>
      <c r="L408" s="8" t="s">
        <v>18</v>
      </c>
      <c r="M408" s="8" t="s">
        <v>22</v>
      </c>
      <c r="N408" s="10" t="s">
        <v>44</v>
      </c>
      <c r="O408" s="17">
        <f xml:space="preserve"> (Tabla1[[#This Row],[Unit_Price]] - Tabla1[[#This Row],[Unit_Cost]] ) * Tabla1[[#This Row],[Quantity_Sold]]</f>
        <v>5267.8399999999965</v>
      </c>
      <c r="P408" s="12">
        <f>Tabla1[[#This Row],[Profit]] / Tabla1[[#This Row],[Sales_Calculated]]</f>
        <v>4.8639385433594293E-2</v>
      </c>
      <c r="Q408" s="20">
        <f xml:space="preserve"> Tabla1[[#This Row],[Unit_Price]] * Tabla1[[#This Row],[Quantity_Sold]]</f>
        <v>108304</v>
      </c>
    </row>
    <row r="409" spans="1:17" x14ac:dyDescent="0.3">
      <c r="A409" s="2">
        <v>1043</v>
      </c>
      <c r="B409" s="1">
        <v>45141</v>
      </c>
      <c r="C409" s="8" t="s">
        <v>24</v>
      </c>
      <c r="D409" s="8" t="s">
        <v>34</v>
      </c>
      <c r="E409" s="6">
        <v>6601.89</v>
      </c>
      <c r="F409" s="2">
        <v>22</v>
      </c>
      <c r="G409" s="8" t="s">
        <v>35</v>
      </c>
      <c r="H409" s="6">
        <v>4260</v>
      </c>
      <c r="I409" s="6">
        <v>4656.58</v>
      </c>
      <c r="J409" s="8" t="s">
        <v>30</v>
      </c>
      <c r="K409" s="12">
        <v>0</v>
      </c>
      <c r="L409" s="8" t="s">
        <v>27</v>
      </c>
      <c r="M409" s="8" t="s">
        <v>19</v>
      </c>
      <c r="N409" s="10" t="s">
        <v>50</v>
      </c>
      <c r="O409" s="17">
        <f xml:space="preserve"> (Tabla1[[#This Row],[Unit_Price]] - Tabla1[[#This Row],[Unit_Cost]] ) * Tabla1[[#This Row],[Quantity_Sold]]</f>
        <v>8724.7599999999984</v>
      </c>
      <c r="P409" s="12">
        <f>Tabla1[[#This Row],[Profit]] / Tabla1[[#This Row],[Sales_Calculated]]</f>
        <v>8.51655077331432E-2</v>
      </c>
      <c r="Q409" s="20">
        <f xml:space="preserve"> Tabla1[[#This Row],[Unit_Price]] * Tabla1[[#This Row],[Quantity_Sold]]</f>
        <v>102444.76</v>
      </c>
    </row>
    <row r="410" spans="1:17" x14ac:dyDescent="0.3">
      <c r="A410" s="2">
        <v>1048</v>
      </c>
      <c r="B410" s="1">
        <v>45219</v>
      </c>
      <c r="C410" s="8" t="s">
        <v>42</v>
      </c>
      <c r="D410" s="8" t="s">
        <v>25</v>
      </c>
      <c r="E410" s="6">
        <v>9688.52</v>
      </c>
      <c r="F410" s="2">
        <v>6</v>
      </c>
      <c r="G410" s="8" t="s">
        <v>35</v>
      </c>
      <c r="H410" s="6">
        <v>3717.3</v>
      </c>
      <c r="I410" s="6">
        <v>4061.37</v>
      </c>
      <c r="J410" s="8" t="s">
        <v>30</v>
      </c>
      <c r="K410" s="12">
        <v>0.03</v>
      </c>
      <c r="L410" s="8" t="s">
        <v>27</v>
      </c>
      <c r="M410" s="8" t="s">
        <v>22</v>
      </c>
      <c r="N410" s="10" t="s">
        <v>43</v>
      </c>
      <c r="O410" s="17">
        <f xml:space="preserve"> (Tabla1[[#This Row],[Unit_Price]] - Tabla1[[#This Row],[Unit_Cost]] ) * Tabla1[[#This Row],[Quantity_Sold]]</f>
        <v>2064.4199999999983</v>
      </c>
      <c r="P410" s="12">
        <f>Tabla1[[#This Row],[Profit]] / Tabla1[[#This Row],[Sales_Calculated]]</f>
        <v>8.47177184053656E-2</v>
      </c>
      <c r="Q410" s="20">
        <f xml:space="preserve"> Tabla1[[#This Row],[Unit_Price]] * Tabla1[[#This Row],[Quantity_Sold]]</f>
        <v>24368.22</v>
      </c>
    </row>
    <row r="411" spans="1:17" x14ac:dyDescent="0.3">
      <c r="A411" s="2">
        <v>1039</v>
      </c>
      <c r="B411" s="1">
        <v>45001</v>
      </c>
      <c r="C411" s="8" t="s">
        <v>38</v>
      </c>
      <c r="D411" s="8" t="s">
        <v>15</v>
      </c>
      <c r="E411" s="6">
        <v>6076.01</v>
      </c>
      <c r="F411" s="2">
        <v>35</v>
      </c>
      <c r="G411" s="8" t="s">
        <v>16</v>
      </c>
      <c r="H411" s="6">
        <v>2735.74</v>
      </c>
      <c r="I411" s="6">
        <v>3181.22999999999</v>
      </c>
      <c r="J411" s="8" t="s">
        <v>30</v>
      </c>
      <c r="K411" s="12">
        <v>0.1</v>
      </c>
      <c r="L411" s="8" t="s">
        <v>31</v>
      </c>
      <c r="M411" s="8" t="s">
        <v>22</v>
      </c>
      <c r="N411" s="10" t="s">
        <v>40</v>
      </c>
      <c r="O411" s="17">
        <f xml:space="preserve"> (Tabla1[[#This Row],[Unit_Price]] - Tabla1[[#This Row],[Unit_Cost]] ) * Tabla1[[#This Row],[Quantity_Sold]]</f>
        <v>15592.149999999658</v>
      </c>
      <c r="P411" s="12">
        <f>Tabla1[[#This Row],[Profit]] / Tabla1[[#This Row],[Sales_Calculated]]</f>
        <v>0.14003702970234519</v>
      </c>
      <c r="Q411" s="20">
        <f xml:space="preserve"> Tabla1[[#This Row],[Unit_Price]] * Tabla1[[#This Row],[Quantity_Sold]]</f>
        <v>111343.04999999965</v>
      </c>
    </row>
    <row r="412" spans="1:17" x14ac:dyDescent="0.3">
      <c r="A412" s="2">
        <v>1093</v>
      </c>
      <c r="B412" s="1">
        <v>45252</v>
      </c>
      <c r="C412" s="8" t="s">
        <v>33</v>
      </c>
      <c r="D412" s="8" t="s">
        <v>15</v>
      </c>
      <c r="E412" s="6">
        <v>862.1</v>
      </c>
      <c r="F412" s="2">
        <v>22</v>
      </c>
      <c r="G412" s="8" t="s">
        <v>16</v>
      </c>
      <c r="H412" s="6">
        <v>3285.25</v>
      </c>
      <c r="I412" s="6">
        <v>3634.58</v>
      </c>
      <c r="J412" s="8" t="s">
        <v>30</v>
      </c>
      <c r="K412" s="12">
        <v>0.13</v>
      </c>
      <c r="L412" s="8" t="s">
        <v>27</v>
      </c>
      <c r="M412" s="8" t="s">
        <v>19</v>
      </c>
      <c r="N412" s="10" t="s">
        <v>53</v>
      </c>
      <c r="O412" s="17">
        <f xml:space="preserve"> (Tabla1[[#This Row],[Unit_Price]] - Tabla1[[#This Row],[Unit_Cost]] ) * Tabla1[[#This Row],[Quantity_Sold]]</f>
        <v>7685.2599999999984</v>
      </c>
      <c r="P412" s="12">
        <f>Tabla1[[#This Row],[Profit]] / Tabla1[[#This Row],[Sales_Calculated]]</f>
        <v>9.6112893374200037E-2</v>
      </c>
      <c r="Q412" s="20">
        <f xml:space="preserve"> Tabla1[[#This Row],[Unit_Price]] * Tabla1[[#This Row],[Quantity_Sold]]</f>
        <v>79960.759999999995</v>
      </c>
    </row>
    <row r="413" spans="1:17" x14ac:dyDescent="0.3">
      <c r="A413" s="2">
        <v>1042</v>
      </c>
      <c r="B413" s="1">
        <v>45072</v>
      </c>
      <c r="C413" s="8" t="s">
        <v>14</v>
      </c>
      <c r="D413" s="8" t="s">
        <v>34</v>
      </c>
      <c r="E413" s="6">
        <v>848.28</v>
      </c>
      <c r="F413" s="2">
        <v>1</v>
      </c>
      <c r="G413" s="8" t="s">
        <v>35</v>
      </c>
      <c r="H413" s="6">
        <v>1406.24</v>
      </c>
      <c r="I413" s="6">
        <v>1535.57</v>
      </c>
      <c r="J413" s="8" t="s">
        <v>30</v>
      </c>
      <c r="K413" s="12">
        <v>0.08</v>
      </c>
      <c r="L413" s="8" t="s">
        <v>31</v>
      </c>
      <c r="M413" s="8" t="s">
        <v>22</v>
      </c>
      <c r="N413" s="10" t="s">
        <v>46</v>
      </c>
      <c r="O413" s="17">
        <f xml:space="preserve"> (Tabla1[[#This Row],[Unit_Price]] - Tabla1[[#This Row],[Unit_Cost]] ) * Tabla1[[#This Row],[Quantity_Sold]]</f>
        <v>129.32999999999993</v>
      </c>
      <c r="P413" s="12">
        <f>Tabla1[[#This Row],[Profit]] / Tabla1[[#This Row],[Sales_Calculated]]</f>
        <v>8.4222796746484974E-2</v>
      </c>
      <c r="Q413" s="20">
        <f xml:space="preserve"> Tabla1[[#This Row],[Unit_Price]] * Tabla1[[#This Row],[Quantity_Sold]]</f>
        <v>1535.57</v>
      </c>
    </row>
    <row r="414" spans="1:17" x14ac:dyDescent="0.3">
      <c r="A414" s="2">
        <v>1026</v>
      </c>
      <c r="B414" s="1">
        <v>45054</v>
      </c>
      <c r="C414" s="8" t="s">
        <v>33</v>
      </c>
      <c r="D414" s="8" t="s">
        <v>21</v>
      </c>
      <c r="E414" s="6">
        <v>9519.09</v>
      </c>
      <c r="F414" s="2">
        <v>20</v>
      </c>
      <c r="G414" s="8" t="s">
        <v>29</v>
      </c>
      <c r="H414" s="6">
        <v>2985.63</v>
      </c>
      <c r="I414" s="6">
        <v>3452.14</v>
      </c>
      <c r="J414" s="8" t="s">
        <v>30</v>
      </c>
      <c r="K414" s="12">
        <v>0.17</v>
      </c>
      <c r="L414" s="8" t="s">
        <v>31</v>
      </c>
      <c r="M414" s="8" t="s">
        <v>22</v>
      </c>
      <c r="N414" s="10" t="s">
        <v>37</v>
      </c>
      <c r="O414" s="17">
        <f xml:space="preserve"> (Tabla1[[#This Row],[Unit_Price]] - Tabla1[[#This Row],[Unit_Cost]] ) * Tabla1[[#This Row],[Quantity_Sold]]</f>
        <v>9330.1999999999953</v>
      </c>
      <c r="P414" s="12">
        <f>Tabla1[[#This Row],[Profit]] / Tabla1[[#This Row],[Sales_Calculated]]</f>
        <v>0.13513646607611504</v>
      </c>
      <c r="Q414" s="20">
        <f xml:space="preserve"> Tabla1[[#This Row],[Unit_Price]] * Tabla1[[#This Row],[Quantity_Sold]]</f>
        <v>69042.8</v>
      </c>
    </row>
    <row r="415" spans="1:17" x14ac:dyDescent="0.3">
      <c r="A415" s="2">
        <v>1099</v>
      </c>
      <c r="B415" s="1">
        <v>45267</v>
      </c>
      <c r="C415" s="8" t="s">
        <v>14</v>
      </c>
      <c r="D415" s="8" t="s">
        <v>34</v>
      </c>
      <c r="E415" s="6">
        <v>3043.18</v>
      </c>
      <c r="F415" s="2">
        <v>22</v>
      </c>
      <c r="G415" s="8" t="s">
        <v>16</v>
      </c>
      <c r="H415" s="6">
        <v>2471.67</v>
      </c>
      <c r="I415" s="6">
        <v>2533.04</v>
      </c>
      <c r="J415" s="8" t="s">
        <v>17</v>
      </c>
      <c r="K415" s="12">
        <v>0.02</v>
      </c>
      <c r="L415" s="8" t="s">
        <v>27</v>
      </c>
      <c r="M415" s="8" t="s">
        <v>22</v>
      </c>
      <c r="N415" s="10" t="s">
        <v>46</v>
      </c>
      <c r="O415" s="17">
        <f xml:space="preserve"> (Tabla1[[#This Row],[Unit_Price]] - Tabla1[[#This Row],[Unit_Cost]] ) * Tabla1[[#This Row],[Quantity_Sold]]</f>
        <v>1350.1399999999976</v>
      </c>
      <c r="P415" s="12">
        <f>Tabla1[[#This Row],[Profit]] / Tabla1[[#This Row],[Sales_Calculated]]</f>
        <v>2.4227805324827042E-2</v>
      </c>
      <c r="Q415" s="20">
        <f xml:space="preserve"> Tabla1[[#This Row],[Unit_Price]] * Tabla1[[#This Row],[Quantity_Sold]]</f>
        <v>55726.879999999997</v>
      </c>
    </row>
    <row r="416" spans="1:17" x14ac:dyDescent="0.3">
      <c r="A416" s="2">
        <v>1050</v>
      </c>
      <c r="B416" s="1">
        <v>44968</v>
      </c>
      <c r="C416" s="8" t="s">
        <v>33</v>
      </c>
      <c r="D416" s="8" t="s">
        <v>21</v>
      </c>
      <c r="E416" s="6">
        <v>1011.46</v>
      </c>
      <c r="F416" s="2">
        <v>48</v>
      </c>
      <c r="G416" s="8" t="s">
        <v>16</v>
      </c>
      <c r="H416" s="6">
        <v>710.06</v>
      </c>
      <c r="I416" s="6">
        <v>851.349999999999</v>
      </c>
      <c r="J416" s="8" t="s">
        <v>17</v>
      </c>
      <c r="K416" s="12">
        <v>0.04</v>
      </c>
      <c r="L416" s="8" t="s">
        <v>27</v>
      </c>
      <c r="M416" s="8" t="s">
        <v>19</v>
      </c>
      <c r="N416" s="10" t="s">
        <v>37</v>
      </c>
      <c r="O416" s="17">
        <f xml:space="preserve"> (Tabla1[[#This Row],[Unit_Price]] - Tabla1[[#This Row],[Unit_Cost]] ) * Tabla1[[#This Row],[Quantity_Sold]]</f>
        <v>6781.9199999999546</v>
      </c>
      <c r="P416" s="12">
        <f>Tabla1[[#This Row],[Profit]] / Tabla1[[#This Row],[Sales_Calculated]]</f>
        <v>0.16595994596816729</v>
      </c>
      <c r="Q416" s="20">
        <f xml:space="preserve"> Tabla1[[#This Row],[Unit_Price]] * Tabla1[[#This Row],[Quantity_Sold]]</f>
        <v>40864.799999999952</v>
      </c>
    </row>
    <row r="417" spans="1:17" x14ac:dyDescent="0.3">
      <c r="A417" s="2">
        <v>1025</v>
      </c>
      <c r="B417" s="1">
        <v>45282</v>
      </c>
      <c r="C417" s="8" t="s">
        <v>14</v>
      </c>
      <c r="D417" s="8" t="s">
        <v>25</v>
      </c>
      <c r="E417" s="6">
        <v>6030.54</v>
      </c>
      <c r="F417" s="2">
        <v>11</v>
      </c>
      <c r="G417" s="8" t="s">
        <v>26</v>
      </c>
      <c r="H417" s="6">
        <v>1250.5899999999999</v>
      </c>
      <c r="I417" s="6">
        <v>1515.48999999999</v>
      </c>
      <c r="J417" s="8" t="s">
        <v>17</v>
      </c>
      <c r="K417" s="12">
        <v>0.21</v>
      </c>
      <c r="L417" s="8" t="s">
        <v>27</v>
      </c>
      <c r="M417" s="8" t="s">
        <v>22</v>
      </c>
      <c r="N417" s="10" t="s">
        <v>32</v>
      </c>
      <c r="O417" s="17">
        <f xml:space="preserve"> (Tabla1[[#This Row],[Unit_Price]] - Tabla1[[#This Row],[Unit_Cost]] ) * Tabla1[[#This Row],[Quantity_Sold]]</f>
        <v>2913.899999999891</v>
      </c>
      <c r="P417" s="12">
        <f>Tabla1[[#This Row],[Profit]] / Tabla1[[#This Row],[Sales_Calculated]]</f>
        <v>0.1747949508079841</v>
      </c>
      <c r="Q417" s="20">
        <f xml:space="preserve"> Tabla1[[#This Row],[Unit_Price]] * Tabla1[[#This Row],[Quantity_Sold]]</f>
        <v>16670.38999999989</v>
      </c>
    </row>
    <row r="418" spans="1:17" x14ac:dyDescent="0.3">
      <c r="A418" s="2">
        <v>1024</v>
      </c>
      <c r="B418" s="1">
        <v>44967</v>
      </c>
      <c r="C418" s="8" t="s">
        <v>24</v>
      </c>
      <c r="D418" s="8" t="s">
        <v>34</v>
      </c>
      <c r="E418" s="6">
        <v>6274.12</v>
      </c>
      <c r="F418" s="2">
        <v>13</v>
      </c>
      <c r="G418" s="8" t="s">
        <v>29</v>
      </c>
      <c r="H418" s="6">
        <v>1493.88</v>
      </c>
      <c r="I418" s="6">
        <v>1781.09</v>
      </c>
      <c r="J418" s="8" t="s">
        <v>30</v>
      </c>
      <c r="K418" s="12">
        <v>0.04</v>
      </c>
      <c r="L418" s="8" t="s">
        <v>18</v>
      </c>
      <c r="M418" s="8" t="s">
        <v>22</v>
      </c>
      <c r="N418" s="10" t="s">
        <v>50</v>
      </c>
      <c r="O418" s="17">
        <f xml:space="preserve"> (Tabla1[[#This Row],[Unit_Price]] - Tabla1[[#This Row],[Unit_Cost]] ) * Tabla1[[#This Row],[Quantity_Sold]]</f>
        <v>3733.7299999999977</v>
      </c>
      <c r="P418" s="12">
        <f>Tabla1[[#This Row],[Profit]] / Tabla1[[#This Row],[Sales_Calculated]]</f>
        <v>0.16125518643078107</v>
      </c>
      <c r="Q418" s="20">
        <f xml:space="preserve"> Tabla1[[#This Row],[Unit_Price]] * Tabla1[[#This Row],[Quantity_Sold]]</f>
        <v>23154.17</v>
      </c>
    </row>
    <row r="419" spans="1:17" x14ac:dyDescent="0.3">
      <c r="A419" s="2">
        <v>1013</v>
      </c>
      <c r="B419" s="1">
        <v>44960</v>
      </c>
      <c r="C419" s="8" t="s">
        <v>14</v>
      </c>
      <c r="D419" s="8" t="s">
        <v>15</v>
      </c>
      <c r="E419" s="6">
        <v>6520.2</v>
      </c>
      <c r="F419" s="2">
        <v>42</v>
      </c>
      <c r="G419" s="8" t="s">
        <v>29</v>
      </c>
      <c r="H419" s="6">
        <v>4625.33</v>
      </c>
      <c r="I419" s="6">
        <v>4642.83</v>
      </c>
      <c r="J419" s="8" t="s">
        <v>30</v>
      </c>
      <c r="K419" s="12">
        <v>0.19</v>
      </c>
      <c r="L419" s="8" t="s">
        <v>31</v>
      </c>
      <c r="M419" s="8" t="s">
        <v>19</v>
      </c>
      <c r="N419" s="10" t="s">
        <v>20</v>
      </c>
      <c r="O419" s="17">
        <f xml:space="preserve"> (Tabla1[[#This Row],[Unit_Price]] - Tabla1[[#This Row],[Unit_Cost]] ) * Tabla1[[#This Row],[Quantity_Sold]]</f>
        <v>735</v>
      </c>
      <c r="P419" s="12">
        <f>Tabla1[[#This Row],[Profit]] / Tabla1[[#This Row],[Sales_Calculated]]</f>
        <v>3.7692528048625519E-3</v>
      </c>
      <c r="Q419" s="20">
        <f xml:space="preserve"> Tabla1[[#This Row],[Unit_Price]] * Tabla1[[#This Row],[Quantity_Sold]]</f>
        <v>194998.86</v>
      </c>
    </row>
    <row r="420" spans="1:17" x14ac:dyDescent="0.3">
      <c r="A420" s="2">
        <v>1060</v>
      </c>
      <c r="B420" s="1">
        <v>44943</v>
      </c>
      <c r="C420" s="8" t="s">
        <v>14</v>
      </c>
      <c r="D420" s="8" t="s">
        <v>25</v>
      </c>
      <c r="E420" s="6">
        <v>2747.28</v>
      </c>
      <c r="F420" s="2">
        <v>3</v>
      </c>
      <c r="G420" s="8" t="s">
        <v>35</v>
      </c>
      <c r="H420" s="6">
        <v>1190.4100000000001</v>
      </c>
      <c r="I420" s="6">
        <v>1582.89</v>
      </c>
      <c r="J420" s="8" t="s">
        <v>30</v>
      </c>
      <c r="K420" s="12">
        <v>0.02</v>
      </c>
      <c r="L420" s="8" t="s">
        <v>31</v>
      </c>
      <c r="M420" s="8" t="s">
        <v>22</v>
      </c>
      <c r="N420" s="10" t="s">
        <v>32</v>
      </c>
      <c r="O420" s="17">
        <f xml:space="preserve"> (Tabla1[[#This Row],[Unit_Price]] - Tabla1[[#This Row],[Unit_Cost]] ) * Tabla1[[#This Row],[Quantity_Sold]]</f>
        <v>1177.44</v>
      </c>
      <c r="P420" s="12">
        <f>Tabla1[[#This Row],[Profit]] / Tabla1[[#This Row],[Sales_Calculated]]</f>
        <v>0.24795153169203168</v>
      </c>
      <c r="Q420" s="20">
        <f xml:space="preserve"> Tabla1[[#This Row],[Unit_Price]] * Tabla1[[#This Row],[Quantity_Sold]]</f>
        <v>4748.67</v>
      </c>
    </row>
    <row r="421" spans="1:17" x14ac:dyDescent="0.3">
      <c r="A421" s="2">
        <v>1007</v>
      </c>
      <c r="B421" s="1">
        <v>45091</v>
      </c>
      <c r="C421" s="8" t="s">
        <v>42</v>
      </c>
      <c r="D421" s="8" t="s">
        <v>15</v>
      </c>
      <c r="E421" s="6">
        <v>249.6</v>
      </c>
      <c r="F421" s="2">
        <v>9</v>
      </c>
      <c r="G421" s="8" t="s">
        <v>29</v>
      </c>
      <c r="H421" s="6">
        <v>1481.76</v>
      </c>
      <c r="I421" s="6">
        <v>1668.95</v>
      </c>
      <c r="J421" s="8" t="s">
        <v>17</v>
      </c>
      <c r="K421" s="12">
        <v>0.12</v>
      </c>
      <c r="L421" s="8" t="s">
        <v>31</v>
      </c>
      <c r="M421" s="8" t="s">
        <v>22</v>
      </c>
      <c r="N421" s="10" t="s">
        <v>49</v>
      </c>
      <c r="O421" s="17">
        <f xml:space="preserve"> (Tabla1[[#This Row],[Unit_Price]] - Tabla1[[#This Row],[Unit_Cost]] ) * Tabla1[[#This Row],[Quantity_Sold]]</f>
        <v>1684.7100000000005</v>
      </c>
      <c r="P421" s="12">
        <f>Tabla1[[#This Row],[Profit]] / Tabla1[[#This Row],[Sales_Calculated]]</f>
        <v>0.11216034033374279</v>
      </c>
      <c r="Q421" s="20">
        <f xml:space="preserve"> Tabla1[[#This Row],[Unit_Price]] * Tabla1[[#This Row],[Quantity_Sold]]</f>
        <v>15020.550000000001</v>
      </c>
    </row>
    <row r="422" spans="1:17" x14ac:dyDescent="0.3">
      <c r="A422" s="2">
        <v>1057</v>
      </c>
      <c r="B422" s="1">
        <v>45079</v>
      </c>
      <c r="C422" s="8" t="s">
        <v>14</v>
      </c>
      <c r="D422" s="8" t="s">
        <v>25</v>
      </c>
      <c r="E422" s="6">
        <v>9653.65</v>
      </c>
      <c r="F422" s="2">
        <v>12</v>
      </c>
      <c r="G422" s="8" t="s">
        <v>35</v>
      </c>
      <c r="H422" s="6">
        <v>1878.3</v>
      </c>
      <c r="I422" s="6">
        <v>2087.4499999999998</v>
      </c>
      <c r="J422" s="8" t="s">
        <v>30</v>
      </c>
      <c r="K422" s="12">
        <v>0.05</v>
      </c>
      <c r="L422" s="8" t="s">
        <v>27</v>
      </c>
      <c r="M422" s="8" t="s">
        <v>22</v>
      </c>
      <c r="N422" s="10" t="s">
        <v>32</v>
      </c>
      <c r="O422" s="17">
        <f xml:space="preserve"> (Tabla1[[#This Row],[Unit_Price]] - Tabla1[[#This Row],[Unit_Cost]] ) * Tabla1[[#This Row],[Quantity_Sold]]</f>
        <v>2509.7999999999984</v>
      </c>
      <c r="P422" s="12">
        <f>Tabla1[[#This Row],[Profit]] / Tabla1[[#This Row],[Sales_Calculated]]</f>
        <v>0.1001940166231526</v>
      </c>
      <c r="Q422" s="20">
        <f xml:space="preserve"> Tabla1[[#This Row],[Unit_Price]] * Tabla1[[#This Row],[Quantity_Sold]]</f>
        <v>25049.399999999998</v>
      </c>
    </row>
    <row r="423" spans="1:17" x14ac:dyDescent="0.3">
      <c r="A423" s="2">
        <v>1036</v>
      </c>
      <c r="B423" s="1">
        <v>45002</v>
      </c>
      <c r="C423" s="8" t="s">
        <v>42</v>
      </c>
      <c r="D423" s="8" t="s">
        <v>34</v>
      </c>
      <c r="E423" s="6">
        <v>2583.84</v>
      </c>
      <c r="F423" s="2">
        <v>23</v>
      </c>
      <c r="G423" s="8" t="s">
        <v>26</v>
      </c>
      <c r="H423" s="6">
        <v>3335.53</v>
      </c>
      <c r="I423" s="6">
        <v>3742.12</v>
      </c>
      <c r="J423" s="8" t="s">
        <v>30</v>
      </c>
      <c r="K423" s="12">
        <v>0.03</v>
      </c>
      <c r="L423" s="8" t="s">
        <v>27</v>
      </c>
      <c r="M423" s="8" t="s">
        <v>22</v>
      </c>
      <c r="N423" s="10" t="s">
        <v>52</v>
      </c>
      <c r="O423" s="17">
        <f xml:space="preserve"> (Tabla1[[#This Row],[Unit_Price]] - Tabla1[[#This Row],[Unit_Cost]] ) * Tabla1[[#This Row],[Quantity_Sold]]</f>
        <v>9351.5699999999924</v>
      </c>
      <c r="P423" s="12">
        <f>Tabla1[[#This Row],[Profit]] / Tabla1[[#This Row],[Sales_Calculated]]</f>
        <v>0.10865231473068733</v>
      </c>
      <c r="Q423" s="20">
        <f xml:space="preserve"> Tabla1[[#This Row],[Unit_Price]] * Tabla1[[#This Row],[Quantity_Sold]]</f>
        <v>86068.76</v>
      </c>
    </row>
    <row r="424" spans="1:17" x14ac:dyDescent="0.3">
      <c r="A424" s="2">
        <v>1045</v>
      </c>
      <c r="B424" s="1">
        <v>45013</v>
      </c>
      <c r="C424" s="8" t="s">
        <v>38</v>
      </c>
      <c r="D424" s="8" t="s">
        <v>21</v>
      </c>
      <c r="E424" s="6">
        <v>6792.66</v>
      </c>
      <c r="F424" s="2">
        <v>14</v>
      </c>
      <c r="G424" s="8" t="s">
        <v>29</v>
      </c>
      <c r="H424" s="6">
        <v>635.28</v>
      </c>
      <c r="I424" s="6">
        <v>831.13</v>
      </c>
      <c r="J424" s="8" t="s">
        <v>17</v>
      </c>
      <c r="K424" s="12">
        <v>0.17</v>
      </c>
      <c r="L424" s="8" t="s">
        <v>27</v>
      </c>
      <c r="M424" s="8" t="s">
        <v>22</v>
      </c>
      <c r="N424" s="10" t="s">
        <v>41</v>
      </c>
      <c r="O424" s="17">
        <f xml:space="preserve"> (Tabla1[[#This Row],[Unit_Price]] - Tabla1[[#This Row],[Unit_Cost]] ) * Tabla1[[#This Row],[Quantity_Sold]]</f>
        <v>2741.9000000000005</v>
      </c>
      <c r="P424" s="12">
        <f>Tabla1[[#This Row],[Profit]] / Tabla1[[#This Row],[Sales_Calculated]]</f>
        <v>0.2356430401982843</v>
      </c>
      <c r="Q424" s="20">
        <f xml:space="preserve"> Tabla1[[#This Row],[Unit_Price]] * Tabla1[[#This Row],[Quantity_Sold]]</f>
        <v>11635.82</v>
      </c>
    </row>
    <row r="425" spans="1:17" x14ac:dyDescent="0.3">
      <c r="A425" s="2">
        <v>1020</v>
      </c>
      <c r="B425" s="1">
        <v>45043</v>
      </c>
      <c r="C425" s="8" t="s">
        <v>42</v>
      </c>
      <c r="D425" s="8" t="s">
        <v>25</v>
      </c>
      <c r="E425" s="6">
        <v>7095.64</v>
      </c>
      <c r="F425" s="2">
        <v>33</v>
      </c>
      <c r="G425" s="8" t="s">
        <v>16</v>
      </c>
      <c r="H425" s="6">
        <v>4772.03</v>
      </c>
      <c r="I425" s="6">
        <v>4805.17</v>
      </c>
      <c r="J425" s="8" t="s">
        <v>17</v>
      </c>
      <c r="K425" s="12">
        <v>0.28000000000000003</v>
      </c>
      <c r="L425" s="8" t="s">
        <v>27</v>
      </c>
      <c r="M425" s="8" t="s">
        <v>19</v>
      </c>
      <c r="N425" s="10" t="s">
        <v>43</v>
      </c>
      <c r="O425" s="17">
        <f xml:space="preserve"> (Tabla1[[#This Row],[Unit_Price]] - Tabla1[[#This Row],[Unit_Cost]] ) * Tabla1[[#This Row],[Quantity_Sold]]</f>
        <v>1093.6200000000108</v>
      </c>
      <c r="P425" s="12">
        <f>Tabla1[[#This Row],[Profit]] / Tabla1[[#This Row],[Sales_Calculated]]</f>
        <v>6.8967383047842893E-3</v>
      </c>
      <c r="Q425" s="20">
        <f xml:space="preserve"> Tabla1[[#This Row],[Unit_Price]] * Tabla1[[#This Row],[Quantity_Sold]]</f>
        <v>158570.61000000002</v>
      </c>
    </row>
    <row r="426" spans="1:17" x14ac:dyDescent="0.3">
      <c r="A426" s="2">
        <v>1065</v>
      </c>
      <c r="B426" s="1">
        <v>45288</v>
      </c>
      <c r="C426" s="8" t="s">
        <v>24</v>
      </c>
      <c r="D426" s="8" t="s">
        <v>21</v>
      </c>
      <c r="E426" s="6">
        <v>6139.07</v>
      </c>
      <c r="F426" s="2">
        <v>18</v>
      </c>
      <c r="G426" s="8" t="s">
        <v>26</v>
      </c>
      <c r="H426" s="6">
        <v>4334.58</v>
      </c>
      <c r="I426" s="6">
        <v>4431.04</v>
      </c>
      <c r="J426" s="8" t="s">
        <v>30</v>
      </c>
      <c r="K426" s="12">
        <v>0.02</v>
      </c>
      <c r="L426" s="8" t="s">
        <v>27</v>
      </c>
      <c r="M426" s="8" t="s">
        <v>22</v>
      </c>
      <c r="N426" s="10" t="s">
        <v>47</v>
      </c>
      <c r="O426" s="17">
        <f xml:space="preserve"> (Tabla1[[#This Row],[Unit_Price]] - Tabla1[[#This Row],[Unit_Cost]] ) * Tabla1[[#This Row],[Quantity_Sold]]</f>
        <v>1736.2800000000007</v>
      </c>
      <c r="P426" s="12">
        <f>Tabla1[[#This Row],[Profit]] / Tabla1[[#This Row],[Sales_Calculated]]</f>
        <v>2.1769155773813831E-2</v>
      </c>
      <c r="Q426" s="20">
        <f xml:space="preserve"> Tabla1[[#This Row],[Unit_Price]] * Tabla1[[#This Row],[Quantity_Sold]]</f>
        <v>79758.720000000001</v>
      </c>
    </row>
    <row r="427" spans="1:17" x14ac:dyDescent="0.3">
      <c r="A427" s="2">
        <v>1008</v>
      </c>
      <c r="B427" s="1">
        <v>45268</v>
      </c>
      <c r="C427" s="8" t="s">
        <v>42</v>
      </c>
      <c r="D427" s="8" t="s">
        <v>25</v>
      </c>
      <c r="E427" s="6">
        <v>3197.78</v>
      </c>
      <c r="F427" s="2">
        <v>49</v>
      </c>
      <c r="G427" s="8" t="s">
        <v>35</v>
      </c>
      <c r="H427" s="6">
        <v>2907.22</v>
      </c>
      <c r="I427" s="6">
        <v>3385.6099999999901</v>
      </c>
      <c r="J427" s="8" t="s">
        <v>30</v>
      </c>
      <c r="K427" s="12">
        <v>0.13</v>
      </c>
      <c r="L427" s="8" t="s">
        <v>18</v>
      </c>
      <c r="M427" s="8" t="s">
        <v>19</v>
      </c>
      <c r="N427" s="10" t="s">
        <v>43</v>
      </c>
      <c r="O427" s="17">
        <f xml:space="preserve"> (Tabla1[[#This Row],[Unit_Price]] - Tabla1[[#This Row],[Unit_Cost]] ) * Tabla1[[#This Row],[Quantity_Sold]]</f>
        <v>23441.109999999528</v>
      </c>
      <c r="P427" s="12">
        <f>Tabla1[[#This Row],[Profit]] / Tabla1[[#This Row],[Sales_Calculated]]</f>
        <v>0.14130097678113893</v>
      </c>
      <c r="Q427" s="20">
        <f xml:space="preserve"> Tabla1[[#This Row],[Unit_Price]] * Tabla1[[#This Row],[Quantity_Sold]]</f>
        <v>165894.88999999952</v>
      </c>
    </row>
    <row r="428" spans="1:17" x14ac:dyDescent="0.3">
      <c r="A428" s="2">
        <v>1016</v>
      </c>
      <c r="B428" s="1">
        <v>44953</v>
      </c>
      <c r="C428" s="8" t="s">
        <v>38</v>
      </c>
      <c r="D428" s="8" t="s">
        <v>15</v>
      </c>
      <c r="E428" s="6">
        <v>2783.85</v>
      </c>
      <c r="F428" s="2">
        <v>41</v>
      </c>
      <c r="G428" s="8" t="s">
        <v>26</v>
      </c>
      <c r="H428" s="6">
        <v>3386.49</v>
      </c>
      <c r="I428" s="6">
        <v>3430.99</v>
      </c>
      <c r="J428" s="8" t="s">
        <v>30</v>
      </c>
      <c r="K428" s="12">
        <v>0.21</v>
      </c>
      <c r="L428" s="8" t="s">
        <v>27</v>
      </c>
      <c r="M428" s="8" t="s">
        <v>22</v>
      </c>
      <c r="N428" s="10" t="s">
        <v>40</v>
      </c>
      <c r="O428" s="17">
        <f xml:space="preserve"> (Tabla1[[#This Row],[Unit_Price]] - Tabla1[[#This Row],[Unit_Cost]] ) * Tabla1[[#This Row],[Quantity_Sold]]</f>
        <v>1824.5</v>
      </c>
      <c r="P428" s="12">
        <f>Tabla1[[#This Row],[Profit]] / Tabla1[[#This Row],[Sales_Calculated]]</f>
        <v>1.2970017400225591E-2</v>
      </c>
      <c r="Q428" s="20">
        <f xml:space="preserve"> Tabla1[[#This Row],[Unit_Price]] * Tabla1[[#This Row],[Quantity_Sold]]</f>
        <v>140670.59</v>
      </c>
    </row>
    <row r="429" spans="1:17" x14ac:dyDescent="0.3">
      <c r="A429" s="2">
        <v>1014</v>
      </c>
      <c r="B429" s="1">
        <v>45239</v>
      </c>
      <c r="C429" s="8" t="s">
        <v>24</v>
      </c>
      <c r="D429" s="8" t="s">
        <v>15</v>
      </c>
      <c r="E429" s="6">
        <v>6016.92</v>
      </c>
      <c r="F429" s="2">
        <v>9</v>
      </c>
      <c r="G429" s="8" t="s">
        <v>35</v>
      </c>
      <c r="H429" s="6">
        <v>132.47</v>
      </c>
      <c r="I429" s="6">
        <v>316.39</v>
      </c>
      <c r="J429" s="8" t="s">
        <v>30</v>
      </c>
      <c r="K429" s="12">
        <v>0.14000000000000001</v>
      </c>
      <c r="L429" s="8" t="s">
        <v>31</v>
      </c>
      <c r="M429" s="8" t="s">
        <v>19</v>
      </c>
      <c r="N429" s="10" t="s">
        <v>45</v>
      </c>
      <c r="O429" s="17">
        <f xml:space="preserve"> (Tabla1[[#This Row],[Unit_Price]] - Tabla1[[#This Row],[Unit_Cost]] ) * Tabla1[[#This Row],[Quantity_Sold]]</f>
        <v>1655.28</v>
      </c>
      <c r="P429" s="12">
        <f>Tabla1[[#This Row],[Profit]] / Tabla1[[#This Row],[Sales_Calculated]]</f>
        <v>0.58130787951578755</v>
      </c>
      <c r="Q429" s="20">
        <f xml:space="preserve"> Tabla1[[#This Row],[Unit_Price]] * Tabla1[[#This Row],[Quantity_Sold]]</f>
        <v>2847.5099999999998</v>
      </c>
    </row>
    <row r="430" spans="1:17" x14ac:dyDescent="0.3">
      <c r="A430" s="2">
        <v>1076</v>
      </c>
      <c r="B430" s="1">
        <v>45213</v>
      </c>
      <c r="C430" s="8" t="s">
        <v>33</v>
      </c>
      <c r="D430" s="8" t="s">
        <v>25</v>
      </c>
      <c r="E430" s="6">
        <v>8674.35</v>
      </c>
      <c r="F430" s="2">
        <v>23</v>
      </c>
      <c r="G430" s="8" t="s">
        <v>26</v>
      </c>
      <c r="H430" s="6">
        <v>1727.78</v>
      </c>
      <c r="I430" s="6">
        <v>1984.34</v>
      </c>
      <c r="J430" s="8" t="s">
        <v>17</v>
      </c>
      <c r="K430" s="12">
        <v>0.24</v>
      </c>
      <c r="L430" s="8" t="s">
        <v>27</v>
      </c>
      <c r="M430" s="8" t="s">
        <v>19</v>
      </c>
      <c r="N430" s="10" t="s">
        <v>44</v>
      </c>
      <c r="O430" s="17">
        <f xml:space="preserve"> (Tabla1[[#This Row],[Unit_Price]] - Tabla1[[#This Row],[Unit_Cost]] ) * Tabla1[[#This Row],[Quantity_Sold]]</f>
        <v>5900.8799999999992</v>
      </c>
      <c r="P430" s="12">
        <f>Tabla1[[#This Row],[Profit]] / Tabla1[[#This Row],[Sales_Calculated]]</f>
        <v>0.12929235917231924</v>
      </c>
      <c r="Q430" s="20">
        <f xml:space="preserve"> Tabla1[[#This Row],[Unit_Price]] * Tabla1[[#This Row],[Quantity_Sold]]</f>
        <v>45639.82</v>
      </c>
    </row>
    <row r="431" spans="1:17" x14ac:dyDescent="0.3">
      <c r="A431" s="2">
        <v>1087</v>
      </c>
      <c r="B431" s="1">
        <v>45060</v>
      </c>
      <c r="C431" s="8" t="s">
        <v>33</v>
      </c>
      <c r="D431" s="8" t="s">
        <v>21</v>
      </c>
      <c r="E431" s="6">
        <v>9472.66</v>
      </c>
      <c r="F431" s="2">
        <v>10</v>
      </c>
      <c r="G431" s="8" t="s">
        <v>35</v>
      </c>
      <c r="H431" s="6">
        <v>3988.52</v>
      </c>
      <c r="I431" s="6">
        <v>4240.2299999999996</v>
      </c>
      <c r="J431" s="8" t="s">
        <v>30</v>
      </c>
      <c r="K431" s="12">
        <v>0.05</v>
      </c>
      <c r="L431" s="8" t="s">
        <v>31</v>
      </c>
      <c r="M431" s="8" t="s">
        <v>19</v>
      </c>
      <c r="N431" s="10" t="s">
        <v>37</v>
      </c>
      <c r="O431" s="17">
        <f xml:space="preserve"> (Tabla1[[#This Row],[Unit_Price]] - Tabla1[[#This Row],[Unit_Cost]] ) * Tabla1[[#This Row],[Quantity_Sold]]</f>
        <v>2517.0999999999958</v>
      </c>
      <c r="P431" s="12">
        <f>Tabla1[[#This Row],[Profit]] / Tabla1[[#This Row],[Sales_Calculated]]</f>
        <v>5.936234591048118E-2</v>
      </c>
      <c r="Q431" s="20">
        <f xml:space="preserve"> Tabla1[[#This Row],[Unit_Price]] * Tabla1[[#This Row],[Quantity_Sold]]</f>
        <v>42402.299999999996</v>
      </c>
    </row>
    <row r="432" spans="1:17" x14ac:dyDescent="0.3">
      <c r="A432" s="2">
        <v>1015</v>
      </c>
      <c r="B432" s="1">
        <v>45145</v>
      </c>
      <c r="C432" s="8" t="s">
        <v>42</v>
      </c>
      <c r="D432" s="8" t="s">
        <v>34</v>
      </c>
      <c r="E432" s="6">
        <v>1148.47</v>
      </c>
      <c r="F432" s="2">
        <v>19</v>
      </c>
      <c r="G432" s="8" t="s">
        <v>29</v>
      </c>
      <c r="H432" s="6">
        <v>433.54</v>
      </c>
      <c r="I432" s="6">
        <v>445.48</v>
      </c>
      <c r="J432" s="8" t="s">
        <v>30</v>
      </c>
      <c r="K432" s="12">
        <v>0.28999999999999998</v>
      </c>
      <c r="L432" s="8" t="s">
        <v>27</v>
      </c>
      <c r="M432" s="8" t="s">
        <v>22</v>
      </c>
      <c r="N432" s="10" t="s">
        <v>52</v>
      </c>
      <c r="O432" s="17">
        <f xml:space="preserve"> (Tabla1[[#This Row],[Unit_Price]] - Tabla1[[#This Row],[Unit_Cost]] ) * Tabla1[[#This Row],[Quantity_Sold]]</f>
        <v>226.85999999999996</v>
      </c>
      <c r="P432" s="12">
        <f>Tabla1[[#This Row],[Profit]] / Tabla1[[#This Row],[Sales_Calculated]]</f>
        <v>2.6802550058364003E-2</v>
      </c>
      <c r="Q432" s="20">
        <f xml:space="preserve"> Tabla1[[#This Row],[Unit_Price]] * Tabla1[[#This Row],[Quantity_Sold]]</f>
        <v>8464.1200000000008</v>
      </c>
    </row>
    <row r="433" spans="1:17" x14ac:dyDescent="0.3">
      <c r="A433" s="2">
        <v>1092</v>
      </c>
      <c r="B433" s="1">
        <v>45094</v>
      </c>
      <c r="C433" s="8" t="s">
        <v>42</v>
      </c>
      <c r="D433" s="8" t="s">
        <v>34</v>
      </c>
      <c r="E433" s="6">
        <v>1632.8</v>
      </c>
      <c r="F433" s="2">
        <v>47</v>
      </c>
      <c r="G433" s="8" t="s">
        <v>16</v>
      </c>
      <c r="H433" s="6">
        <v>1447.45</v>
      </c>
      <c r="I433" s="6">
        <v>1703.02</v>
      </c>
      <c r="J433" s="8" t="s">
        <v>17</v>
      </c>
      <c r="K433" s="12">
        <v>0.12</v>
      </c>
      <c r="L433" s="8" t="s">
        <v>27</v>
      </c>
      <c r="M433" s="8" t="s">
        <v>22</v>
      </c>
      <c r="N433" s="10" t="s">
        <v>52</v>
      </c>
      <c r="O433" s="17">
        <f xml:space="preserve"> (Tabla1[[#This Row],[Unit_Price]] - Tabla1[[#This Row],[Unit_Cost]] ) * Tabla1[[#This Row],[Quantity_Sold]]</f>
        <v>12011.789999999997</v>
      </c>
      <c r="P433" s="12">
        <f>Tabla1[[#This Row],[Profit]] / Tabla1[[#This Row],[Sales_Calculated]]</f>
        <v>0.15006870148324736</v>
      </c>
      <c r="Q433" s="20">
        <f xml:space="preserve"> Tabla1[[#This Row],[Unit_Price]] * Tabla1[[#This Row],[Quantity_Sold]]</f>
        <v>80041.94</v>
      </c>
    </row>
    <row r="434" spans="1:17" x14ac:dyDescent="0.3">
      <c r="A434" s="2">
        <v>1098</v>
      </c>
      <c r="B434" s="1">
        <v>45024</v>
      </c>
      <c r="C434" s="8" t="s">
        <v>38</v>
      </c>
      <c r="D434" s="8" t="s">
        <v>15</v>
      </c>
      <c r="E434" s="6">
        <v>9452.89</v>
      </c>
      <c r="F434" s="2">
        <v>5</v>
      </c>
      <c r="G434" s="8" t="s">
        <v>35</v>
      </c>
      <c r="H434" s="6">
        <v>2947.22</v>
      </c>
      <c r="I434" s="6">
        <v>3145.27</v>
      </c>
      <c r="J434" s="8" t="s">
        <v>30</v>
      </c>
      <c r="K434" s="12">
        <v>0.1</v>
      </c>
      <c r="L434" s="8" t="s">
        <v>31</v>
      </c>
      <c r="M434" s="8" t="s">
        <v>22</v>
      </c>
      <c r="N434" s="10" t="s">
        <v>40</v>
      </c>
      <c r="O434" s="17">
        <f xml:space="preserve"> (Tabla1[[#This Row],[Unit_Price]] - Tabla1[[#This Row],[Unit_Cost]] ) * Tabla1[[#This Row],[Quantity_Sold]]</f>
        <v>990.25000000000091</v>
      </c>
      <c r="P434" s="12">
        <f>Tabla1[[#This Row],[Profit]] / Tabla1[[#This Row],[Sales_Calculated]]</f>
        <v>6.2967567172293695E-2</v>
      </c>
      <c r="Q434" s="20">
        <f xml:space="preserve"> Tabla1[[#This Row],[Unit_Price]] * Tabla1[[#This Row],[Quantity_Sold]]</f>
        <v>15726.35</v>
      </c>
    </row>
    <row r="435" spans="1:17" x14ac:dyDescent="0.3">
      <c r="A435" s="2">
        <v>1066</v>
      </c>
      <c r="B435" s="1">
        <v>45194</v>
      </c>
      <c r="C435" s="8" t="s">
        <v>38</v>
      </c>
      <c r="D435" s="8" t="s">
        <v>34</v>
      </c>
      <c r="E435" s="6">
        <v>7391.7</v>
      </c>
      <c r="F435" s="2">
        <v>47</v>
      </c>
      <c r="G435" s="8" t="s">
        <v>26</v>
      </c>
      <c r="H435" s="6">
        <v>1319.24</v>
      </c>
      <c r="I435" s="6">
        <v>1805.56</v>
      </c>
      <c r="J435" s="8" t="s">
        <v>30</v>
      </c>
      <c r="K435" s="12">
        <v>0.26</v>
      </c>
      <c r="L435" s="8" t="s">
        <v>31</v>
      </c>
      <c r="M435" s="8" t="s">
        <v>22</v>
      </c>
      <c r="N435" s="10" t="s">
        <v>48</v>
      </c>
      <c r="O435" s="17">
        <f xml:space="preserve"> (Tabla1[[#This Row],[Unit_Price]] - Tabla1[[#This Row],[Unit_Cost]] ) * Tabla1[[#This Row],[Quantity_Sold]]</f>
        <v>22857.039999999997</v>
      </c>
      <c r="P435" s="12">
        <f>Tabla1[[#This Row],[Profit]] / Tabla1[[#This Row],[Sales_Calculated]]</f>
        <v>0.269345798533419</v>
      </c>
      <c r="Q435" s="20">
        <f xml:space="preserve"> Tabla1[[#This Row],[Unit_Price]] * Tabla1[[#This Row],[Quantity_Sold]]</f>
        <v>84861.319999999992</v>
      </c>
    </row>
    <row r="436" spans="1:17" x14ac:dyDescent="0.3">
      <c r="A436" s="2">
        <v>1032</v>
      </c>
      <c r="B436" s="1">
        <v>45163</v>
      </c>
      <c r="C436" s="8" t="s">
        <v>14</v>
      </c>
      <c r="D436" s="8" t="s">
        <v>15</v>
      </c>
      <c r="E436" s="6">
        <v>8841.64</v>
      </c>
      <c r="F436" s="2">
        <v>23</v>
      </c>
      <c r="G436" s="8" t="s">
        <v>35</v>
      </c>
      <c r="H436" s="6">
        <v>4673.1899999999996</v>
      </c>
      <c r="I436" s="6">
        <v>4761.1799999999903</v>
      </c>
      <c r="J436" s="8" t="s">
        <v>17</v>
      </c>
      <c r="K436" s="12">
        <v>0.17</v>
      </c>
      <c r="L436" s="8" t="s">
        <v>31</v>
      </c>
      <c r="M436" s="8" t="s">
        <v>22</v>
      </c>
      <c r="N436" s="10" t="s">
        <v>20</v>
      </c>
      <c r="O436" s="17">
        <f xml:space="preserve"> (Tabla1[[#This Row],[Unit_Price]] - Tabla1[[#This Row],[Unit_Cost]] ) * Tabla1[[#This Row],[Quantity_Sold]]</f>
        <v>2023.7699999997858</v>
      </c>
      <c r="P436" s="12">
        <f>Tabla1[[#This Row],[Profit]] / Tabla1[[#This Row],[Sales_Calculated]]</f>
        <v>1.8480712764480836E-2</v>
      </c>
      <c r="Q436" s="20">
        <f xml:space="preserve"> Tabla1[[#This Row],[Unit_Price]] * Tabla1[[#This Row],[Quantity_Sold]]</f>
        <v>109507.13999999978</v>
      </c>
    </row>
    <row r="437" spans="1:17" x14ac:dyDescent="0.3">
      <c r="A437" s="2">
        <v>1087</v>
      </c>
      <c r="B437" s="1">
        <v>45235</v>
      </c>
      <c r="C437" s="8" t="s">
        <v>38</v>
      </c>
      <c r="D437" s="8" t="s">
        <v>34</v>
      </c>
      <c r="E437" s="6">
        <v>2106.06</v>
      </c>
      <c r="F437" s="2">
        <v>30</v>
      </c>
      <c r="G437" s="8" t="s">
        <v>35</v>
      </c>
      <c r="H437" s="6">
        <v>698.74</v>
      </c>
      <c r="I437" s="6">
        <v>882.28</v>
      </c>
      <c r="J437" s="8" t="s">
        <v>17</v>
      </c>
      <c r="K437" s="12">
        <v>0.15</v>
      </c>
      <c r="L437" s="8" t="s">
        <v>31</v>
      </c>
      <c r="M437" s="8" t="s">
        <v>19</v>
      </c>
      <c r="N437" s="10" t="s">
        <v>48</v>
      </c>
      <c r="O437" s="17">
        <f xml:space="preserve"> (Tabla1[[#This Row],[Unit_Price]] - Tabla1[[#This Row],[Unit_Cost]] ) * Tabla1[[#This Row],[Quantity_Sold]]</f>
        <v>5506.1999999999989</v>
      </c>
      <c r="P437" s="12">
        <f>Tabla1[[#This Row],[Profit]] / Tabla1[[#This Row],[Sales_Calculated]]</f>
        <v>0.20802919708029194</v>
      </c>
      <c r="Q437" s="20">
        <f xml:space="preserve"> Tabla1[[#This Row],[Unit_Price]] * Tabla1[[#This Row],[Quantity_Sold]]</f>
        <v>26468.399999999998</v>
      </c>
    </row>
    <row r="438" spans="1:17" x14ac:dyDescent="0.3">
      <c r="A438" s="2">
        <v>1063</v>
      </c>
      <c r="B438" s="1">
        <v>45099</v>
      </c>
      <c r="C438" s="8" t="s">
        <v>14</v>
      </c>
      <c r="D438" s="8" t="s">
        <v>25</v>
      </c>
      <c r="E438" s="6">
        <v>5917.1</v>
      </c>
      <c r="F438" s="2">
        <v>25</v>
      </c>
      <c r="G438" s="8" t="s">
        <v>35</v>
      </c>
      <c r="H438" s="6">
        <v>3997.1</v>
      </c>
      <c r="I438" s="6">
        <v>4212.6499999999996</v>
      </c>
      <c r="J438" s="8" t="s">
        <v>30</v>
      </c>
      <c r="K438" s="12">
        <v>0.22</v>
      </c>
      <c r="L438" s="8" t="s">
        <v>18</v>
      </c>
      <c r="M438" s="8" t="s">
        <v>19</v>
      </c>
      <c r="N438" s="10" t="s">
        <v>32</v>
      </c>
      <c r="O438" s="17">
        <f xml:space="preserve"> (Tabla1[[#This Row],[Unit_Price]] - Tabla1[[#This Row],[Unit_Cost]] ) * Tabla1[[#This Row],[Quantity_Sold]]</f>
        <v>5388.7499999999927</v>
      </c>
      <c r="P438" s="12">
        <f>Tabla1[[#This Row],[Profit]] / Tabla1[[#This Row],[Sales_Calculated]]</f>
        <v>5.1167317484243822E-2</v>
      </c>
      <c r="Q438" s="20">
        <f xml:space="preserve"> Tabla1[[#This Row],[Unit_Price]] * Tabla1[[#This Row],[Quantity_Sold]]</f>
        <v>105316.24999999999</v>
      </c>
    </row>
    <row r="439" spans="1:17" x14ac:dyDescent="0.3">
      <c r="A439" s="2">
        <v>1086</v>
      </c>
      <c r="B439" s="1">
        <v>45116</v>
      </c>
      <c r="C439" s="8" t="s">
        <v>24</v>
      </c>
      <c r="D439" s="8" t="s">
        <v>15</v>
      </c>
      <c r="E439" s="6">
        <v>7041.28</v>
      </c>
      <c r="F439" s="2">
        <v>28</v>
      </c>
      <c r="G439" s="8" t="s">
        <v>26</v>
      </c>
      <c r="H439" s="6">
        <v>2564.35</v>
      </c>
      <c r="I439" s="6">
        <v>2765.79</v>
      </c>
      <c r="J439" s="8" t="s">
        <v>17</v>
      </c>
      <c r="K439" s="12">
        <v>0.17</v>
      </c>
      <c r="L439" s="8" t="s">
        <v>31</v>
      </c>
      <c r="M439" s="8" t="s">
        <v>19</v>
      </c>
      <c r="N439" s="10" t="s">
        <v>45</v>
      </c>
      <c r="O439" s="17">
        <f xml:space="preserve"> (Tabla1[[#This Row],[Unit_Price]] - Tabla1[[#This Row],[Unit_Cost]] ) * Tabla1[[#This Row],[Quantity_Sold]]</f>
        <v>5640.3200000000015</v>
      </c>
      <c r="P439" s="12">
        <f>Tabla1[[#This Row],[Profit]] / Tabla1[[#This Row],[Sales_Calculated]]</f>
        <v>7.2832716872936867E-2</v>
      </c>
      <c r="Q439" s="20">
        <f xml:space="preserve"> Tabla1[[#This Row],[Unit_Price]] * Tabla1[[#This Row],[Quantity_Sold]]</f>
        <v>77442.12</v>
      </c>
    </row>
    <row r="440" spans="1:17" x14ac:dyDescent="0.3">
      <c r="A440" s="2">
        <v>1051</v>
      </c>
      <c r="B440" s="1">
        <v>45048</v>
      </c>
      <c r="C440" s="8" t="s">
        <v>42</v>
      </c>
      <c r="D440" s="8" t="s">
        <v>15</v>
      </c>
      <c r="E440" s="6">
        <v>6833.11</v>
      </c>
      <c r="F440" s="2">
        <v>34</v>
      </c>
      <c r="G440" s="8" t="s">
        <v>16</v>
      </c>
      <c r="H440" s="6">
        <v>3764.14</v>
      </c>
      <c r="I440" s="6">
        <v>4100.3999999999996</v>
      </c>
      <c r="J440" s="8" t="s">
        <v>17</v>
      </c>
      <c r="K440" s="12">
        <v>0.05</v>
      </c>
      <c r="L440" s="8" t="s">
        <v>27</v>
      </c>
      <c r="M440" s="8" t="s">
        <v>22</v>
      </c>
      <c r="N440" s="10" t="s">
        <v>49</v>
      </c>
      <c r="O440" s="17">
        <f xml:space="preserve"> (Tabla1[[#This Row],[Unit_Price]] - Tabla1[[#This Row],[Unit_Cost]] ) * Tabla1[[#This Row],[Quantity_Sold]]</f>
        <v>11432.839999999993</v>
      </c>
      <c r="P440" s="12">
        <f>Tabla1[[#This Row],[Profit]] / Tabla1[[#This Row],[Sales_Calculated]]</f>
        <v>8.200663349917077E-2</v>
      </c>
      <c r="Q440" s="20">
        <f xml:space="preserve"> Tabla1[[#This Row],[Unit_Price]] * Tabla1[[#This Row],[Quantity_Sold]]</f>
        <v>139413.59999999998</v>
      </c>
    </row>
    <row r="441" spans="1:17" x14ac:dyDescent="0.3">
      <c r="A441" s="2">
        <v>1025</v>
      </c>
      <c r="B441" s="1">
        <v>44972</v>
      </c>
      <c r="C441" s="8" t="s">
        <v>24</v>
      </c>
      <c r="D441" s="8" t="s">
        <v>25</v>
      </c>
      <c r="E441" s="6">
        <v>4140.7</v>
      </c>
      <c r="F441" s="2">
        <v>45</v>
      </c>
      <c r="G441" s="8" t="s">
        <v>29</v>
      </c>
      <c r="H441" s="6">
        <v>1588.04</v>
      </c>
      <c r="I441" s="6">
        <v>1703.6399999999901</v>
      </c>
      <c r="J441" s="8" t="s">
        <v>30</v>
      </c>
      <c r="K441" s="12">
        <v>0.2</v>
      </c>
      <c r="L441" s="8" t="s">
        <v>27</v>
      </c>
      <c r="M441" s="8" t="s">
        <v>22</v>
      </c>
      <c r="N441" s="10" t="s">
        <v>28</v>
      </c>
      <c r="O441" s="17">
        <f xml:space="preserve"> (Tabla1[[#This Row],[Unit_Price]] - Tabla1[[#This Row],[Unit_Cost]] ) * Tabla1[[#This Row],[Quantity_Sold]]</f>
        <v>5201.9999999995562</v>
      </c>
      <c r="P441" s="12">
        <f>Tabla1[[#This Row],[Profit]] / Tabla1[[#This Row],[Sales_Calculated]]</f>
        <v>6.785471108919186E-2</v>
      </c>
      <c r="Q441" s="20">
        <f xml:space="preserve"> Tabla1[[#This Row],[Unit_Price]] * Tabla1[[#This Row],[Quantity_Sold]]</f>
        <v>76663.799999999552</v>
      </c>
    </row>
    <row r="442" spans="1:17" x14ac:dyDescent="0.3">
      <c r="A442" s="2">
        <v>1058</v>
      </c>
      <c r="B442" s="1">
        <v>44990</v>
      </c>
      <c r="C442" s="8" t="s">
        <v>38</v>
      </c>
      <c r="D442" s="8" t="s">
        <v>15</v>
      </c>
      <c r="E442" s="6">
        <v>252.41</v>
      </c>
      <c r="F442" s="2">
        <v>48</v>
      </c>
      <c r="G442" s="8" t="s">
        <v>16</v>
      </c>
      <c r="H442" s="6">
        <v>2596.7199999999998</v>
      </c>
      <c r="I442" s="6">
        <v>2715.0499999999902</v>
      </c>
      <c r="J442" s="8" t="s">
        <v>17</v>
      </c>
      <c r="K442" s="12">
        <v>0.04</v>
      </c>
      <c r="L442" s="8" t="s">
        <v>18</v>
      </c>
      <c r="M442" s="8" t="s">
        <v>19</v>
      </c>
      <c r="N442" s="10" t="s">
        <v>40</v>
      </c>
      <c r="O442" s="17">
        <f xml:space="preserve"> (Tabla1[[#This Row],[Unit_Price]] - Tabla1[[#This Row],[Unit_Cost]] ) * Tabla1[[#This Row],[Quantity_Sold]]</f>
        <v>5679.8399999995381</v>
      </c>
      <c r="P442" s="12">
        <f>Tabla1[[#This Row],[Profit]] / Tabla1[[#This Row],[Sales_Calculated]]</f>
        <v>4.35829911051328E-2</v>
      </c>
      <c r="Q442" s="20">
        <f xml:space="preserve"> Tabla1[[#This Row],[Unit_Price]] * Tabla1[[#This Row],[Quantity_Sold]]</f>
        <v>130322.39999999953</v>
      </c>
    </row>
    <row r="443" spans="1:17" x14ac:dyDescent="0.3">
      <c r="A443" s="2">
        <v>1063</v>
      </c>
      <c r="B443" s="1">
        <v>45056</v>
      </c>
      <c r="C443" s="8" t="s">
        <v>24</v>
      </c>
      <c r="D443" s="8" t="s">
        <v>34</v>
      </c>
      <c r="E443" s="6">
        <v>5870.97</v>
      </c>
      <c r="F443" s="2">
        <v>47</v>
      </c>
      <c r="G443" s="8" t="s">
        <v>35</v>
      </c>
      <c r="H443" s="6">
        <v>4291.33</v>
      </c>
      <c r="I443" s="6">
        <v>4658.6400000000003</v>
      </c>
      <c r="J443" s="8" t="s">
        <v>30</v>
      </c>
      <c r="K443" s="12">
        <v>0.24</v>
      </c>
      <c r="L443" s="8" t="s">
        <v>31</v>
      </c>
      <c r="M443" s="8" t="s">
        <v>22</v>
      </c>
      <c r="N443" s="10" t="s">
        <v>50</v>
      </c>
      <c r="O443" s="17">
        <f xml:space="preserve"> (Tabla1[[#This Row],[Unit_Price]] - Tabla1[[#This Row],[Unit_Cost]] ) * Tabla1[[#This Row],[Quantity_Sold]]</f>
        <v>17263.570000000018</v>
      </c>
      <c r="P443" s="12">
        <f>Tabla1[[#This Row],[Profit]] / Tabla1[[#This Row],[Sales_Calculated]]</f>
        <v>7.8844898940463384E-2</v>
      </c>
      <c r="Q443" s="20">
        <f xml:space="preserve"> Tabla1[[#This Row],[Unit_Price]] * Tabla1[[#This Row],[Quantity_Sold]]</f>
        <v>218956.08000000002</v>
      </c>
    </row>
    <row r="444" spans="1:17" x14ac:dyDescent="0.3">
      <c r="A444" s="2">
        <v>1062</v>
      </c>
      <c r="B444" s="1">
        <v>45236</v>
      </c>
      <c r="C444" s="8" t="s">
        <v>24</v>
      </c>
      <c r="D444" s="8" t="s">
        <v>34</v>
      </c>
      <c r="E444" s="6">
        <v>2605.71</v>
      </c>
      <c r="F444" s="2">
        <v>25</v>
      </c>
      <c r="G444" s="8" t="s">
        <v>26</v>
      </c>
      <c r="H444" s="6">
        <v>2361.0500000000002</v>
      </c>
      <c r="I444" s="6">
        <v>2616.19</v>
      </c>
      <c r="J444" s="8" t="s">
        <v>30</v>
      </c>
      <c r="K444" s="12">
        <v>0.3</v>
      </c>
      <c r="L444" s="8" t="s">
        <v>27</v>
      </c>
      <c r="M444" s="8" t="s">
        <v>22</v>
      </c>
      <c r="N444" s="10" t="s">
        <v>50</v>
      </c>
      <c r="O444" s="17">
        <f xml:space="preserve"> (Tabla1[[#This Row],[Unit_Price]] - Tabla1[[#This Row],[Unit_Cost]] ) * Tabla1[[#This Row],[Quantity_Sold]]</f>
        <v>6378.4999999999964</v>
      </c>
      <c r="P444" s="12">
        <f>Tabla1[[#This Row],[Profit]] / Tabla1[[#This Row],[Sales_Calculated]]</f>
        <v>9.7523497911084389E-2</v>
      </c>
      <c r="Q444" s="20">
        <f xml:space="preserve"> Tabla1[[#This Row],[Unit_Price]] * Tabla1[[#This Row],[Quantity_Sold]]</f>
        <v>65404.75</v>
      </c>
    </row>
    <row r="445" spans="1:17" x14ac:dyDescent="0.3">
      <c r="A445" s="2">
        <v>1022</v>
      </c>
      <c r="B445" s="1">
        <v>45289</v>
      </c>
      <c r="C445" s="8" t="s">
        <v>24</v>
      </c>
      <c r="D445" s="8" t="s">
        <v>15</v>
      </c>
      <c r="E445" s="6">
        <v>4557.5200000000004</v>
      </c>
      <c r="F445" s="2">
        <v>10</v>
      </c>
      <c r="G445" s="8" t="s">
        <v>16</v>
      </c>
      <c r="H445" s="6">
        <v>1830.61</v>
      </c>
      <c r="I445" s="6">
        <v>2044.04</v>
      </c>
      <c r="J445" s="8" t="s">
        <v>30</v>
      </c>
      <c r="K445" s="12">
        <v>0.11</v>
      </c>
      <c r="L445" s="8" t="s">
        <v>18</v>
      </c>
      <c r="M445" s="8" t="s">
        <v>19</v>
      </c>
      <c r="N445" s="10" t="s">
        <v>45</v>
      </c>
      <c r="O445" s="17">
        <f xml:space="preserve"> (Tabla1[[#This Row],[Unit_Price]] - Tabla1[[#This Row],[Unit_Cost]] ) * Tabla1[[#This Row],[Quantity_Sold]]</f>
        <v>2134.3000000000006</v>
      </c>
      <c r="P445" s="12">
        <f>Tabla1[[#This Row],[Profit]] / Tabla1[[#This Row],[Sales_Calculated]]</f>
        <v>0.10441576485783059</v>
      </c>
      <c r="Q445" s="20">
        <f xml:space="preserve"> Tabla1[[#This Row],[Unit_Price]] * Tabla1[[#This Row],[Quantity_Sold]]</f>
        <v>20440.400000000001</v>
      </c>
    </row>
    <row r="446" spans="1:17" x14ac:dyDescent="0.3">
      <c r="A446" s="2">
        <v>1058</v>
      </c>
      <c r="B446" s="1">
        <v>45119</v>
      </c>
      <c r="C446" s="8" t="s">
        <v>38</v>
      </c>
      <c r="D446" s="8" t="s">
        <v>34</v>
      </c>
      <c r="E446" s="6">
        <v>9580.0499999999993</v>
      </c>
      <c r="F446" s="2">
        <v>14</v>
      </c>
      <c r="G446" s="8" t="s">
        <v>35</v>
      </c>
      <c r="H446" s="6">
        <v>2703.97</v>
      </c>
      <c r="I446" s="6">
        <v>2796.8799999999901</v>
      </c>
      <c r="J446" s="8" t="s">
        <v>30</v>
      </c>
      <c r="K446" s="12">
        <v>0.13</v>
      </c>
      <c r="L446" s="8" t="s">
        <v>27</v>
      </c>
      <c r="M446" s="8" t="s">
        <v>19</v>
      </c>
      <c r="N446" s="10" t="s">
        <v>48</v>
      </c>
      <c r="O446" s="17">
        <f xml:space="preserve"> (Tabla1[[#This Row],[Unit_Price]] - Tabla1[[#This Row],[Unit_Cost]] ) * Tabla1[[#This Row],[Quantity_Sold]]</f>
        <v>1300.7399999998643</v>
      </c>
      <c r="P446" s="12">
        <f>Tabla1[[#This Row],[Profit]] / Tabla1[[#This Row],[Sales_Calculated]]</f>
        <v>3.3219158490886497E-2</v>
      </c>
      <c r="Q446" s="20">
        <f xml:space="preserve"> Tabla1[[#This Row],[Unit_Price]] * Tabla1[[#This Row],[Quantity_Sold]]</f>
        <v>39156.319999999861</v>
      </c>
    </row>
    <row r="447" spans="1:17" x14ac:dyDescent="0.3">
      <c r="A447" s="2">
        <v>1058</v>
      </c>
      <c r="B447" s="1">
        <v>45233</v>
      </c>
      <c r="C447" s="8" t="s">
        <v>24</v>
      </c>
      <c r="D447" s="8" t="s">
        <v>21</v>
      </c>
      <c r="E447" s="6">
        <v>4050.45</v>
      </c>
      <c r="F447" s="2">
        <v>42</v>
      </c>
      <c r="G447" s="8" t="s">
        <v>29</v>
      </c>
      <c r="H447" s="6">
        <v>3600.95</v>
      </c>
      <c r="I447" s="6">
        <v>3702.8399999999901</v>
      </c>
      <c r="J447" s="8" t="s">
        <v>17</v>
      </c>
      <c r="K447" s="12">
        <v>0.01</v>
      </c>
      <c r="L447" s="8" t="s">
        <v>18</v>
      </c>
      <c r="M447" s="8" t="s">
        <v>22</v>
      </c>
      <c r="N447" s="10" t="s">
        <v>47</v>
      </c>
      <c r="O447" s="17">
        <f xml:space="preserve"> (Tabla1[[#This Row],[Unit_Price]] - Tabla1[[#This Row],[Unit_Cost]] ) * Tabla1[[#This Row],[Quantity_Sold]]</f>
        <v>4279.3799999995936</v>
      </c>
      <c r="P447" s="12">
        <f>Tabla1[[#This Row],[Profit]] / Tabla1[[#This Row],[Sales_Calculated]]</f>
        <v>2.751671689837816E-2</v>
      </c>
      <c r="Q447" s="20">
        <f xml:space="preserve"> Tabla1[[#This Row],[Unit_Price]] * Tabla1[[#This Row],[Quantity_Sold]]</f>
        <v>155519.27999999959</v>
      </c>
    </row>
    <row r="448" spans="1:17" x14ac:dyDescent="0.3">
      <c r="A448" s="2">
        <v>1086</v>
      </c>
      <c r="B448" s="1">
        <v>45107</v>
      </c>
      <c r="C448" s="8" t="s">
        <v>14</v>
      </c>
      <c r="D448" s="8" t="s">
        <v>15</v>
      </c>
      <c r="E448" s="6">
        <v>8414.0400000000009</v>
      </c>
      <c r="F448" s="2">
        <v>46</v>
      </c>
      <c r="G448" s="8" t="s">
        <v>29</v>
      </c>
      <c r="H448" s="6">
        <v>2245.64</v>
      </c>
      <c r="I448" s="6">
        <v>2260.81</v>
      </c>
      <c r="J448" s="8" t="s">
        <v>30</v>
      </c>
      <c r="K448" s="12">
        <v>0</v>
      </c>
      <c r="L448" s="8" t="s">
        <v>18</v>
      </c>
      <c r="M448" s="8" t="s">
        <v>22</v>
      </c>
      <c r="N448" s="10" t="s">
        <v>20</v>
      </c>
      <c r="O448" s="17">
        <f xml:space="preserve"> (Tabla1[[#This Row],[Unit_Price]] - Tabla1[[#This Row],[Unit_Cost]] ) * Tabla1[[#This Row],[Quantity_Sold]]</f>
        <v>697.82000000000335</v>
      </c>
      <c r="P448" s="12">
        <f>Tabla1[[#This Row],[Profit]] / Tabla1[[#This Row],[Sales_Calculated]]</f>
        <v>6.709984474590998E-3</v>
      </c>
      <c r="Q448" s="20">
        <f xml:space="preserve"> Tabla1[[#This Row],[Unit_Price]] * Tabla1[[#This Row],[Quantity_Sold]]</f>
        <v>103997.26</v>
      </c>
    </row>
    <row r="449" spans="1:17" x14ac:dyDescent="0.3">
      <c r="A449" s="2">
        <v>1049</v>
      </c>
      <c r="B449" s="1">
        <v>45218</v>
      </c>
      <c r="C449" s="8" t="s">
        <v>38</v>
      </c>
      <c r="D449" s="8" t="s">
        <v>25</v>
      </c>
      <c r="E449" s="6">
        <v>1966.55</v>
      </c>
      <c r="F449" s="2">
        <v>30</v>
      </c>
      <c r="G449" s="8" t="s">
        <v>29</v>
      </c>
      <c r="H449" s="6">
        <v>4697.4399999999996</v>
      </c>
      <c r="I449" s="6">
        <v>4752.24</v>
      </c>
      <c r="J449" s="8" t="s">
        <v>30</v>
      </c>
      <c r="K449" s="12">
        <v>0.28000000000000003</v>
      </c>
      <c r="L449" s="8" t="s">
        <v>31</v>
      </c>
      <c r="M449" s="8" t="s">
        <v>19</v>
      </c>
      <c r="N449" s="10" t="s">
        <v>39</v>
      </c>
      <c r="O449" s="17">
        <f xml:space="preserve"> (Tabla1[[#This Row],[Unit_Price]] - Tabla1[[#This Row],[Unit_Cost]] ) * Tabla1[[#This Row],[Quantity_Sold]]</f>
        <v>1644.0000000000055</v>
      </c>
      <c r="P449" s="12">
        <f>Tabla1[[#This Row],[Profit]] / Tabla1[[#This Row],[Sales_Calculated]]</f>
        <v>1.1531404137838196E-2</v>
      </c>
      <c r="Q449" s="20">
        <f xml:space="preserve"> Tabla1[[#This Row],[Unit_Price]] * Tabla1[[#This Row],[Quantity_Sold]]</f>
        <v>142567.19999999998</v>
      </c>
    </row>
    <row r="450" spans="1:17" x14ac:dyDescent="0.3">
      <c r="A450" s="2">
        <v>1052</v>
      </c>
      <c r="B450" s="1">
        <v>45208</v>
      </c>
      <c r="C450" s="8" t="s">
        <v>24</v>
      </c>
      <c r="D450" s="8" t="s">
        <v>21</v>
      </c>
      <c r="E450" s="6">
        <v>6757.36</v>
      </c>
      <c r="F450" s="2">
        <v>41</v>
      </c>
      <c r="G450" s="8" t="s">
        <v>35</v>
      </c>
      <c r="H450" s="6">
        <v>1509.98</v>
      </c>
      <c r="I450" s="6">
        <v>1792.83</v>
      </c>
      <c r="J450" s="8" t="s">
        <v>30</v>
      </c>
      <c r="K450" s="12">
        <v>0.04</v>
      </c>
      <c r="L450" s="8" t="s">
        <v>18</v>
      </c>
      <c r="M450" s="8" t="s">
        <v>22</v>
      </c>
      <c r="N450" s="10" t="s">
        <v>47</v>
      </c>
      <c r="O450" s="17">
        <f xml:space="preserve"> (Tabla1[[#This Row],[Unit_Price]] - Tabla1[[#This Row],[Unit_Cost]] ) * Tabla1[[#This Row],[Quantity_Sold]]</f>
        <v>11596.849999999997</v>
      </c>
      <c r="P450" s="12">
        <f>Tabla1[[#This Row],[Profit]] / Tabla1[[#This Row],[Sales_Calculated]]</f>
        <v>0.15776732874840332</v>
      </c>
      <c r="Q450" s="20">
        <f xml:space="preserve"> Tabla1[[#This Row],[Unit_Price]] * Tabla1[[#This Row],[Quantity_Sold]]</f>
        <v>73506.03</v>
      </c>
    </row>
    <row r="451" spans="1:17" x14ac:dyDescent="0.3">
      <c r="A451" s="2">
        <v>1042</v>
      </c>
      <c r="B451" s="1">
        <v>44955</v>
      </c>
      <c r="C451" s="8" t="s">
        <v>38</v>
      </c>
      <c r="D451" s="8" t="s">
        <v>15</v>
      </c>
      <c r="E451" s="6">
        <v>9772.3700000000008</v>
      </c>
      <c r="F451" s="2">
        <v>25</v>
      </c>
      <c r="G451" s="8" t="s">
        <v>26</v>
      </c>
      <c r="H451" s="6">
        <v>2403.54</v>
      </c>
      <c r="I451" s="6">
        <v>2850.56</v>
      </c>
      <c r="J451" s="8" t="s">
        <v>30</v>
      </c>
      <c r="K451" s="12">
        <v>0.13</v>
      </c>
      <c r="L451" s="8" t="s">
        <v>27</v>
      </c>
      <c r="M451" s="8" t="s">
        <v>19</v>
      </c>
      <c r="N451" s="10" t="s">
        <v>40</v>
      </c>
      <c r="O451" s="17">
        <f xml:space="preserve"> (Tabla1[[#This Row],[Unit_Price]] - Tabla1[[#This Row],[Unit_Cost]] ) * Tabla1[[#This Row],[Quantity_Sold]]</f>
        <v>11175.5</v>
      </c>
      <c r="P451" s="12">
        <f>Tabla1[[#This Row],[Profit]] / Tabla1[[#This Row],[Sales_Calculated]]</f>
        <v>0.15681830938482264</v>
      </c>
      <c r="Q451" s="20">
        <f xml:space="preserve"> Tabla1[[#This Row],[Unit_Price]] * Tabla1[[#This Row],[Quantity_Sold]]</f>
        <v>71264</v>
      </c>
    </row>
    <row r="452" spans="1:17" x14ac:dyDescent="0.3">
      <c r="A452" s="2">
        <v>1070</v>
      </c>
      <c r="B452" s="1">
        <v>45075</v>
      </c>
      <c r="C452" s="8" t="s">
        <v>33</v>
      </c>
      <c r="D452" s="8" t="s">
        <v>25</v>
      </c>
      <c r="E452" s="6">
        <v>1108.74</v>
      </c>
      <c r="F452" s="2">
        <v>14</v>
      </c>
      <c r="G452" s="8" t="s">
        <v>16</v>
      </c>
      <c r="H452" s="6">
        <v>3796.79</v>
      </c>
      <c r="I452" s="6">
        <v>3947.5</v>
      </c>
      <c r="J452" s="8" t="s">
        <v>17</v>
      </c>
      <c r="K452" s="12">
        <v>0.24</v>
      </c>
      <c r="L452" s="8" t="s">
        <v>27</v>
      </c>
      <c r="M452" s="8" t="s">
        <v>19</v>
      </c>
      <c r="N452" s="10" t="s">
        <v>44</v>
      </c>
      <c r="O452" s="17">
        <f xml:space="preserve"> (Tabla1[[#This Row],[Unit_Price]] - Tabla1[[#This Row],[Unit_Cost]] ) * Tabla1[[#This Row],[Quantity_Sold]]</f>
        <v>2109.9400000000005</v>
      </c>
      <c r="P452" s="12">
        <f>Tabla1[[#This Row],[Profit]] / Tabla1[[#This Row],[Sales_Calculated]]</f>
        <v>3.8178594046865112E-2</v>
      </c>
      <c r="Q452" s="20">
        <f xml:space="preserve"> Tabla1[[#This Row],[Unit_Price]] * Tabla1[[#This Row],[Quantity_Sold]]</f>
        <v>55265</v>
      </c>
    </row>
    <row r="453" spans="1:17" x14ac:dyDescent="0.3">
      <c r="A453" s="2">
        <v>1015</v>
      </c>
      <c r="B453" s="1">
        <v>45193</v>
      </c>
      <c r="C453" s="8" t="s">
        <v>14</v>
      </c>
      <c r="D453" s="8" t="s">
        <v>34</v>
      </c>
      <c r="E453" s="6">
        <v>182.37</v>
      </c>
      <c r="F453" s="2">
        <v>35</v>
      </c>
      <c r="G453" s="8" t="s">
        <v>29</v>
      </c>
      <c r="H453" s="6">
        <v>3461.15</v>
      </c>
      <c r="I453" s="6">
        <v>3631.75</v>
      </c>
      <c r="J453" s="8" t="s">
        <v>17</v>
      </c>
      <c r="K453" s="12">
        <v>0.27</v>
      </c>
      <c r="L453" s="8" t="s">
        <v>31</v>
      </c>
      <c r="M453" s="8" t="s">
        <v>19</v>
      </c>
      <c r="N453" s="10" t="s">
        <v>46</v>
      </c>
      <c r="O453" s="17">
        <f xml:space="preserve"> (Tabla1[[#This Row],[Unit_Price]] - Tabla1[[#This Row],[Unit_Cost]] ) * Tabla1[[#This Row],[Quantity_Sold]]</f>
        <v>5970.9999999999964</v>
      </c>
      <c r="P453" s="12">
        <f>Tabla1[[#This Row],[Profit]] / Tabla1[[#This Row],[Sales_Calculated]]</f>
        <v>4.6974599022509778E-2</v>
      </c>
      <c r="Q453" s="20">
        <f xml:space="preserve"> Tabla1[[#This Row],[Unit_Price]] * Tabla1[[#This Row],[Quantity_Sold]]</f>
        <v>127111.25</v>
      </c>
    </row>
    <row r="454" spans="1:17" x14ac:dyDescent="0.3">
      <c r="A454" s="2">
        <v>1054</v>
      </c>
      <c r="B454" s="1">
        <v>45222</v>
      </c>
      <c r="C454" s="8" t="s">
        <v>24</v>
      </c>
      <c r="D454" s="8" t="s">
        <v>25</v>
      </c>
      <c r="E454" s="6">
        <v>4392.47</v>
      </c>
      <c r="F454" s="2">
        <v>48</v>
      </c>
      <c r="G454" s="8" t="s">
        <v>35</v>
      </c>
      <c r="H454" s="6">
        <v>4325.0200000000004</v>
      </c>
      <c r="I454" s="6">
        <v>4391.67</v>
      </c>
      <c r="J454" s="8" t="s">
        <v>17</v>
      </c>
      <c r="K454" s="12">
        <v>0.16</v>
      </c>
      <c r="L454" s="8" t="s">
        <v>31</v>
      </c>
      <c r="M454" s="8" t="s">
        <v>22</v>
      </c>
      <c r="N454" s="10" t="s">
        <v>28</v>
      </c>
      <c r="O454" s="17">
        <f xml:space="preserve"> (Tabla1[[#This Row],[Unit_Price]] - Tabla1[[#This Row],[Unit_Cost]] ) * Tabla1[[#This Row],[Quantity_Sold]]</f>
        <v>3199.1999999999825</v>
      </c>
      <c r="P454" s="12">
        <f>Tabla1[[#This Row],[Profit]] / Tabla1[[#This Row],[Sales_Calculated]]</f>
        <v>1.5176459069101193E-2</v>
      </c>
      <c r="Q454" s="20">
        <f xml:space="preserve"> Tabla1[[#This Row],[Unit_Price]] * Tabla1[[#This Row],[Quantity_Sold]]</f>
        <v>210800.16</v>
      </c>
    </row>
    <row r="455" spans="1:17" x14ac:dyDescent="0.3">
      <c r="A455" s="2">
        <v>1060</v>
      </c>
      <c r="B455" s="1">
        <v>44937</v>
      </c>
      <c r="C455" s="8" t="s">
        <v>33</v>
      </c>
      <c r="D455" s="8" t="s">
        <v>21</v>
      </c>
      <c r="E455" s="6">
        <v>1016.99</v>
      </c>
      <c r="F455" s="2">
        <v>34</v>
      </c>
      <c r="G455" s="8" t="s">
        <v>35</v>
      </c>
      <c r="H455" s="6">
        <v>4984.21</v>
      </c>
      <c r="I455" s="6">
        <v>5184.6400000000003</v>
      </c>
      <c r="J455" s="8" t="s">
        <v>30</v>
      </c>
      <c r="K455" s="12">
        <v>0.17</v>
      </c>
      <c r="L455" s="8" t="s">
        <v>18</v>
      </c>
      <c r="M455" s="8" t="s">
        <v>19</v>
      </c>
      <c r="N455" s="10" t="s">
        <v>37</v>
      </c>
      <c r="O455" s="17">
        <f xml:space="preserve"> (Tabla1[[#This Row],[Unit_Price]] - Tabla1[[#This Row],[Unit_Cost]] ) * Tabla1[[#This Row],[Quantity_Sold]]</f>
        <v>6814.6200000000099</v>
      </c>
      <c r="P455" s="12">
        <f>Tabla1[[#This Row],[Profit]] / Tabla1[[#This Row],[Sales_Calculated]]</f>
        <v>3.865842179977786E-2</v>
      </c>
      <c r="Q455" s="20">
        <f xml:space="preserve"> Tabla1[[#This Row],[Unit_Price]] * Tabla1[[#This Row],[Quantity_Sold]]</f>
        <v>176277.76000000001</v>
      </c>
    </row>
    <row r="456" spans="1:17" x14ac:dyDescent="0.3">
      <c r="A456" s="2">
        <v>1097</v>
      </c>
      <c r="B456" s="1">
        <v>45090</v>
      </c>
      <c r="C456" s="8" t="s">
        <v>33</v>
      </c>
      <c r="D456" s="8" t="s">
        <v>34</v>
      </c>
      <c r="E456" s="6">
        <v>7509.01</v>
      </c>
      <c r="F456" s="2">
        <v>10</v>
      </c>
      <c r="G456" s="8" t="s">
        <v>16</v>
      </c>
      <c r="H456" s="6">
        <v>2162.9499999999998</v>
      </c>
      <c r="I456" s="6">
        <v>2191.1899999999901</v>
      </c>
      <c r="J456" s="8" t="s">
        <v>17</v>
      </c>
      <c r="K456" s="12">
        <v>0.2</v>
      </c>
      <c r="L456" s="8" t="s">
        <v>31</v>
      </c>
      <c r="M456" s="8" t="s">
        <v>19</v>
      </c>
      <c r="N456" s="10" t="s">
        <v>36</v>
      </c>
      <c r="O456" s="17">
        <f xml:space="preserve"> (Tabla1[[#This Row],[Unit_Price]] - Tabla1[[#This Row],[Unit_Cost]] ) * Tabla1[[#This Row],[Quantity_Sold]]</f>
        <v>282.39999999990232</v>
      </c>
      <c r="P456" s="12">
        <f>Tabla1[[#This Row],[Profit]] / Tabla1[[#This Row],[Sales_Calculated]]</f>
        <v>1.2887974114517847E-2</v>
      </c>
      <c r="Q456" s="20">
        <f xml:space="preserve"> Tabla1[[#This Row],[Unit_Price]] * Tabla1[[#This Row],[Quantity_Sold]]</f>
        <v>21911.8999999999</v>
      </c>
    </row>
    <row r="457" spans="1:17" x14ac:dyDescent="0.3">
      <c r="A457" s="2">
        <v>1008</v>
      </c>
      <c r="B457" s="1">
        <v>45039</v>
      </c>
      <c r="C457" s="8" t="s">
        <v>38</v>
      </c>
      <c r="D457" s="8" t="s">
        <v>15</v>
      </c>
      <c r="E457" s="6">
        <v>9154.0300000000007</v>
      </c>
      <c r="F457" s="2">
        <v>35</v>
      </c>
      <c r="G457" s="8" t="s">
        <v>29</v>
      </c>
      <c r="H457" s="6">
        <v>600.20000000000005</v>
      </c>
      <c r="I457" s="6">
        <v>1059.82</v>
      </c>
      <c r="J457" s="8" t="s">
        <v>17</v>
      </c>
      <c r="K457" s="12">
        <v>0.28999999999999998</v>
      </c>
      <c r="L457" s="8" t="s">
        <v>27</v>
      </c>
      <c r="M457" s="8" t="s">
        <v>22</v>
      </c>
      <c r="N457" s="10" t="s">
        <v>40</v>
      </c>
      <c r="O457" s="17">
        <f xml:space="preserve"> (Tabla1[[#This Row],[Unit_Price]] - Tabla1[[#This Row],[Unit_Cost]] ) * Tabla1[[#This Row],[Quantity_Sold]]</f>
        <v>16086.699999999997</v>
      </c>
      <c r="P457" s="12">
        <f>Tabla1[[#This Row],[Profit]] / Tabla1[[#This Row],[Sales_Calculated]]</f>
        <v>0.43367741691985429</v>
      </c>
      <c r="Q457" s="20">
        <f xml:space="preserve"> Tabla1[[#This Row],[Unit_Price]] * Tabla1[[#This Row],[Quantity_Sold]]</f>
        <v>37093.699999999997</v>
      </c>
    </row>
    <row r="458" spans="1:17" x14ac:dyDescent="0.3">
      <c r="A458" s="2">
        <v>1053</v>
      </c>
      <c r="B458" s="1">
        <v>45113</v>
      </c>
      <c r="C458" s="8" t="s">
        <v>33</v>
      </c>
      <c r="D458" s="8" t="s">
        <v>34</v>
      </c>
      <c r="E458" s="6">
        <v>4396.8100000000004</v>
      </c>
      <c r="F458" s="2">
        <v>11</v>
      </c>
      <c r="G458" s="8" t="s">
        <v>35</v>
      </c>
      <c r="H458" s="6">
        <v>200.56</v>
      </c>
      <c r="I458" s="6">
        <v>540.38</v>
      </c>
      <c r="J458" s="8" t="s">
        <v>30</v>
      </c>
      <c r="K458" s="12">
        <v>0.18</v>
      </c>
      <c r="L458" s="8" t="s">
        <v>27</v>
      </c>
      <c r="M458" s="8" t="s">
        <v>19</v>
      </c>
      <c r="N458" s="10" t="s">
        <v>36</v>
      </c>
      <c r="O458" s="17">
        <f xml:space="preserve"> (Tabla1[[#This Row],[Unit_Price]] - Tabla1[[#This Row],[Unit_Cost]] ) * Tabla1[[#This Row],[Quantity_Sold]]</f>
        <v>3738.02</v>
      </c>
      <c r="P458" s="12">
        <f>Tabla1[[#This Row],[Profit]] / Tabla1[[#This Row],[Sales_Calculated]]</f>
        <v>0.62885376956956207</v>
      </c>
      <c r="Q458" s="20">
        <f xml:space="preserve"> Tabla1[[#This Row],[Unit_Price]] * Tabla1[[#This Row],[Quantity_Sold]]</f>
        <v>5944.18</v>
      </c>
    </row>
    <row r="459" spans="1:17" x14ac:dyDescent="0.3">
      <c r="A459" s="2">
        <v>1060</v>
      </c>
      <c r="B459" s="1">
        <v>45221</v>
      </c>
      <c r="C459" s="8" t="s">
        <v>14</v>
      </c>
      <c r="D459" s="8" t="s">
        <v>15</v>
      </c>
      <c r="E459" s="6">
        <v>2661.25</v>
      </c>
      <c r="F459" s="2">
        <v>11</v>
      </c>
      <c r="G459" s="8" t="s">
        <v>16</v>
      </c>
      <c r="H459" s="6">
        <v>3648.04</v>
      </c>
      <c r="I459" s="6">
        <v>4143.51</v>
      </c>
      <c r="J459" s="8" t="s">
        <v>17</v>
      </c>
      <c r="K459" s="12">
        <v>0.17</v>
      </c>
      <c r="L459" s="8" t="s">
        <v>31</v>
      </c>
      <c r="M459" s="8" t="s">
        <v>22</v>
      </c>
      <c r="N459" s="10" t="s">
        <v>20</v>
      </c>
      <c r="O459" s="17">
        <f xml:space="preserve"> (Tabla1[[#This Row],[Unit_Price]] - Tabla1[[#This Row],[Unit_Cost]] ) * Tabla1[[#This Row],[Quantity_Sold]]</f>
        <v>5450.1700000000028</v>
      </c>
      <c r="P459" s="12">
        <f>Tabla1[[#This Row],[Profit]] / Tabla1[[#This Row],[Sales_Calculated]]</f>
        <v>0.11957736315346174</v>
      </c>
      <c r="Q459" s="20">
        <f xml:space="preserve"> Tabla1[[#This Row],[Unit_Price]] * Tabla1[[#This Row],[Quantity_Sold]]</f>
        <v>45578.61</v>
      </c>
    </row>
    <row r="460" spans="1:17" x14ac:dyDescent="0.3">
      <c r="A460" s="2">
        <v>1005</v>
      </c>
      <c r="B460" s="1">
        <v>45158</v>
      </c>
      <c r="C460" s="8" t="s">
        <v>14</v>
      </c>
      <c r="D460" s="8" t="s">
        <v>15</v>
      </c>
      <c r="E460" s="6">
        <v>4400.59</v>
      </c>
      <c r="F460" s="2">
        <v>21</v>
      </c>
      <c r="G460" s="8" t="s">
        <v>26</v>
      </c>
      <c r="H460" s="6">
        <v>4376.37</v>
      </c>
      <c r="I460" s="6">
        <v>4818.95</v>
      </c>
      <c r="J460" s="8" t="s">
        <v>30</v>
      </c>
      <c r="K460" s="12">
        <v>0</v>
      </c>
      <c r="L460" s="8" t="s">
        <v>31</v>
      </c>
      <c r="M460" s="8" t="s">
        <v>22</v>
      </c>
      <c r="N460" s="10" t="s">
        <v>20</v>
      </c>
      <c r="O460" s="17">
        <f xml:space="preserve"> (Tabla1[[#This Row],[Unit_Price]] - Tabla1[[#This Row],[Unit_Cost]] ) * Tabla1[[#This Row],[Quantity_Sold]]</f>
        <v>9294.1799999999985</v>
      </c>
      <c r="P460" s="12">
        <f>Tabla1[[#This Row],[Profit]] / Tabla1[[#This Row],[Sales_Calculated]]</f>
        <v>9.1841583747496847E-2</v>
      </c>
      <c r="Q460" s="20">
        <f xml:space="preserve"> Tabla1[[#This Row],[Unit_Price]] * Tabla1[[#This Row],[Quantity_Sold]]</f>
        <v>101197.95</v>
      </c>
    </row>
    <row r="461" spans="1:17" x14ac:dyDescent="0.3">
      <c r="A461" s="2">
        <v>1068</v>
      </c>
      <c r="B461" s="1">
        <v>45153</v>
      </c>
      <c r="C461" s="8" t="s">
        <v>42</v>
      </c>
      <c r="D461" s="8" t="s">
        <v>25</v>
      </c>
      <c r="E461" s="6">
        <v>7262.13</v>
      </c>
      <c r="F461" s="2">
        <v>21</v>
      </c>
      <c r="G461" s="8" t="s">
        <v>26</v>
      </c>
      <c r="H461" s="6">
        <v>1142.53</v>
      </c>
      <c r="I461" s="6">
        <v>1384.3</v>
      </c>
      <c r="J461" s="8" t="s">
        <v>17</v>
      </c>
      <c r="K461" s="12">
        <v>0.02</v>
      </c>
      <c r="L461" s="8" t="s">
        <v>31</v>
      </c>
      <c r="M461" s="8" t="s">
        <v>22</v>
      </c>
      <c r="N461" s="10" t="s">
        <v>43</v>
      </c>
      <c r="O461" s="17">
        <f xml:space="preserve"> (Tabla1[[#This Row],[Unit_Price]] - Tabla1[[#This Row],[Unit_Cost]] ) * Tabla1[[#This Row],[Quantity_Sold]]</f>
        <v>5077.17</v>
      </c>
      <c r="P461" s="12">
        <f>Tabla1[[#This Row],[Profit]] / Tabla1[[#This Row],[Sales_Calculated]]</f>
        <v>0.17465144838546559</v>
      </c>
      <c r="Q461" s="20">
        <f xml:space="preserve"> Tabla1[[#This Row],[Unit_Price]] * Tabla1[[#This Row],[Quantity_Sold]]</f>
        <v>29070.3</v>
      </c>
    </row>
    <row r="462" spans="1:17" x14ac:dyDescent="0.3">
      <c r="A462" s="2">
        <v>1006</v>
      </c>
      <c r="B462" s="1">
        <v>45236</v>
      </c>
      <c r="C462" s="8" t="s">
        <v>14</v>
      </c>
      <c r="D462" s="8" t="s">
        <v>25</v>
      </c>
      <c r="E462" s="6">
        <v>189.64</v>
      </c>
      <c r="F462" s="2">
        <v>22</v>
      </c>
      <c r="G462" s="8" t="s">
        <v>26</v>
      </c>
      <c r="H462" s="6">
        <v>834.32</v>
      </c>
      <c r="I462" s="6">
        <v>1098.97</v>
      </c>
      <c r="J462" s="8" t="s">
        <v>17</v>
      </c>
      <c r="K462" s="12">
        <v>0.17</v>
      </c>
      <c r="L462" s="8" t="s">
        <v>18</v>
      </c>
      <c r="M462" s="8" t="s">
        <v>19</v>
      </c>
      <c r="N462" s="10" t="s">
        <v>32</v>
      </c>
      <c r="O462" s="17">
        <f xml:space="preserve"> (Tabla1[[#This Row],[Unit_Price]] - Tabla1[[#This Row],[Unit_Cost]] ) * Tabla1[[#This Row],[Quantity_Sold]]</f>
        <v>5822.2999999999993</v>
      </c>
      <c r="P462" s="12">
        <f>Tabla1[[#This Row],[Profit]] / Tabla1[[#This Row],[Sales_Calculated]]</f>
        <v>0.24081640081166908</v>
      </c>
      <c r="Q462" s="20">
        <f xml:space="preserve"> Tabla1[[#This Row],[Unit_Price]] * Tabla1[[#This Row],[Quantity_Sold]]</f>
        <v>24177.34</v>
      </c>
    </row>
    <row r="463" spans="1:17" x14ac:dyDescent="0.3">
      <c r="A463" s="2">
        <v>1096</v>
      </c>
      <c r="B463" s="1">
        <v>45024</v>
      </c>
      <c r="C463" s="8" t="s">
        <v>33</v>
      </c>
      <c r="D463" s="8" t="s">
        <v>25</v>
      </c>
      <c r="E463" s="6">
        <v>5935.59</v>
      </c>
      <c r="F463" s="2">
        <v>45</v>
      </c>
      <c r="G463" s="8" t="s">
        <v>29</v>
      </c>
      <c r="H463" s="6">
        <v>357.92</v>
      </c>
      <c r="I463" s="6">
        <v>461.3</v>
      </c>
      <c r="J463" s="8" t="s">
        <v>17</v>
      </c>
      <c r="K463" s="12">
        <v>0.28000000000000003</v>
      </c>
      <c r="L463" s="8" t="s">
        <v>18</v>
      </c>
      <c r="M463" s="8" t="s">
        <v>19</v>
      </c>
      <c r="N463" s="10" t="s">
        <v>44</v>
      </c>
      <c r="O463" s="17">
        <f xml:space="preserve"> (Tabla1[[#This Row],[Unit_Price]] - Tabla1[[#This Row],[Unit_Cost]] ) * Tabla1[[#This Row],[Quantity_Sold]]</f>
        <v>4652.0999999999995</v>
      </c>
      <c r="P463" s="12">
        <f>Tabla1[[#This Row],[Profit]] / Tabla1[[#This Row],[Sales_Calculated]]</f>
        <v>0.22410578799046171</v>
      </c>
      <c r="Q463" s="20">
        <f xml:space="preserve"> Tabla1[[#This Row],[Unit_Price]] * Tabla1[[#This Row],[Quantity_Sold]]</f>
        <v>20758.5</v>
      </c>
    </row>
    <row r="464" spans="1:17" x14ac:dyDescent="0.3">
      <c r="A464" s="2">
        <v>1094</v>
      </c>
      <c r="B464" s="1">
        <v>44981</v>
      </c>
      <c r="C464" s="8" t="s">
        <v>14</v>
      </c>
      <c r="D464" s="8" t="s">
        <v>21</v>
      </c>
      <c r="E464" s="6">
        <v>6171.59</v>
      </c>
      <c r="F464" s="2">
        <v>7</v>
      </c>
      <c r="G464" s="8" t="s">
        <v>16</v>
      </c>
      <c r="H464" s="6">
        <v>4122.38</v>
      </c>
      <c r="I464" s="6">
        <v>4358.78</v>
      </c>
      <c r="J464" s="8" t="s">
        <v>17</v>
      </c>
      <c r="K464" s="12">
        <v>0.26</v>
      </c>
      <c r="L464" s="8" t="s">
        <v>27</v>
      </c>
      <c r="M464" s="8" t="s">
        <v>22</v>
      </c>
      <c r="N464" s="10" t="s">
        <v>23</v>
      </c>
      <c r="O464" s="17">
        <f xml:space="preserve"> (Tabla1[[#This Row],[Unit_Price]] - Tabla1[[#This Row],[Unit_Cost]] ) * Tabla1[[#This Row],[Quantity_Sold]]</f>
        <v>1654.7999999999975</v>
      </c>
      <c r="P464" s="12">
        <f>Tabla1[[#This Row],[Profit]] / Tabla1[[#This Row],[Sales_Calculated]]</f>
        <v>5.4235359435438273E-2</v>
      </c>
      <c r="Q464" s="20">
        <f xml:space="preserve"> Tabla1[[#This Row],[Unit_Price]] * Tabla1[[#This Row],[Quantity_Sold]]</f>
        <v>30511.46</v>
      </c>
    </row>
    <row r="465" spans="1:17" x14ac:dyDescent="0.3">
      <c r="A465" s="2">
        <v>1047</v>
      </c>
      <c r="B465" s="1">
        <v>45037</v>
      </c>
      <c r="C465" s="8" t="s">
        <v>38</v>
      </c>
      <c r="D465" s="8" t="s">
        <v>21</v>
      </c>
      <c r="E465" s="6">
        <v>6413.11</v>
      </c>
      <c r="F465" s="2">
        <v>17</v>
      </c>
      <c r="G465" s="8" t="s">
        <v>16</v>
      </c>
      <c r="H465" s="6">
        <v>1591.34</v>
      </c>
      <c r="I465" s="6">
        <v>2043.82</v>
      </c>
      <c r="J465" s="8" t="s">
        <v>30</v>
      </c>
      <c r="K465" s="12">
        <v>0.28999999999999998</v>
      </c>
      <c r="L465" s="8" t="s">
        <v>18</v>
      </c>
      <c r="M465" s="8" t="s">
        <v>22</v>
      </c>
      <c r="N465" s="10" t="s">
        <v>41</v>
      </c>
      <c r="O465" s="17">
        <f xml:space="preserve"> (Tabla1[[#This Row],[Unit_Price]] - Tabla1[[#This Row],[Unit_Cost]] ) * Tabla1[[#This Row],[Quantity_Sold]]</f>
        <v>7692.16</v>
      </c>
      <c r="P465" s="12">
        <f>Tabla1[[#This Row],[Profit]] / Tabla1[[#This Row],[Sales_Calculated]]</f>
        <v>0.22138935914121594</v>
      </c>
      <c r="Q465" s="20">
        <f xml:space="preserve"> Tabla1[[#This Row],[Unit_Price]] * Tabla1[[#This Row],[Quantity_Sold]]</f>
        <v>34744.94</v>
      </c>
    </row>
    <row r="466" spans="1:17" x14ac:dyDescent="0.3">
      <c r="A466" s="2">
        <v>1099</v>
      </c>
      <c r="B466" s="1">
        <v>45078</v>
      </c>
      <c r="C466" s="8" t="s">
        <v>42</v>
      </c>
      <c r="D466" s="8" t="s">
        <v>25</v>
      </c>
      <c r="E466" s="6">
        <v>2496.02</v>
      </c>
      <c r="F466" s="2">
        <v>2</v>
      </c>
      <c r="G466" s="8" t="s">
        <v>35</v>
      </c>
      <c r="H466" s="6">
        <v>2038.4</v>
      </c>
      <c r="I466" s="6">
        <v>2073.3200000000002</v>
      </c>
      <c r="J466" s="8" t="s">
        <v>30</v>
      </c>
      <c r="K466" s="12">
        <v>0.16</v>
      </c>
      <c r="L466" s="8" t="s">
        <v>18</v>
      </c>
      <c r="M466" s="8" t="s">
        <v>22</v>
      </c>
      <c r="N466" s="10" t="s">
        <v>43</v>
      </c>
      <c r="O466" s="17">
        <f xml:space="preserve"> (Tabla1[[#This Row],[Unit_Price]] - Tabla1[[#This Row],[Unit_Cost]] ) * Tabla1[[#This Row],[Quantity_Sold]]</f>
        <v>69.840000000000146</v>
      </c>
      <c r="P466" s="12">
        <f>Tabla1[[#This Row],[Profit]] / Tabla1[[#This Row],[Sales_Calculated]]</f>
        <v>1.6842552042135354E-2</v>
      </c>
      <c r="Q466" s="20">
        <f xml:space="preserve"> Tabla1[[#This Row],[Unit_Price]] * Tabla1[[#This Row],[Quantity_Sold]]</f>
        <v>4146.6400000000003</v>
      </c>
    </row>
    <row r="467" spans="1:17" x14ac:dyDescent="0.3">
      <c r="A467" s="2">
        <v>1055</v>
      </c>
      <c r="B467" s="1">
        <v>45172</v>
      </c>
      <c r="C467" s="8" t="s">
        <v>33</v>
      </c>
      <c r="D467" s="8" t="s">
        <v>21</v>
      </c>
      <c r="E467" s="6">
        <v>7169.12</v>
      </c>
      <c r="F467" s="2">
        <v>12</v>
      </c>
      <c r="G467" s="8" t="s">
        <v>35</v>
      </c>
      <c r="H467" s="6">
        <v>2538.61</v>
      </c>
      <c r="I467" s="6">
        <v>2971.75</v>
      </c>
      <c r="J467" s="8" t="s">
        <v>17</v>
      </c>
      <c r="K467" s="12">
        <v>0.24</v>
      </c>
      <c r="L467" s="8" t="s">
        <v>18</v>
      </c>
      <c r="M467" s="8" t="s">
        <v>19</v>
      </c>
      <c r="N467" s="10" t="s">
        <v>37</v>
      </c>
      <c r="O467" s="17">
        <f xml:space="preserve"> (Tabla1[[#This Row],[Unit_Price]] - Tabla1[[#This Row],[Unit_Cost]] ) * Tabla1[[#This Row],[Quantity_Sold]]</f>
        <v>5197.6799999999985</v>
      </c>
      <c r="P467" s="12">
        <f>Tabla1[[#This Row],[Profit]] / Tabla1[[#This Row],[Sales_Calculated]]</f>
        <v>0.14575250273407919</v>
      </c>
      <c r="Q467" s="20">
        <f xml:space="preserve"> Tabla1[[#This Row],[Unit_Price]] * Tabla1[[#This Row],[Quantity_Sold]]</f>
        <v>35661</v>
      </c>
    </row>
    <row r="468" spans="1:17" x14ac:dyDescent="0.3">
      <c r="A468" s="2">
        <v>1040</v>
      </c>
      <c r="B468" s="1">
        <v>44995</v>
      </c>
      <c r="C468" s="8" t="s">
        <v>42</v>
      </c>
      <c r="D468" s="8" t="s">
        <v>34</v>
      </c>
      <c r="E468" s="6">
        <v>1004.78</v>
      </c>
      <c r="F468" s="2">
        <v>42</v>
      </c>
      <c r="G468" s="8" t="s">
        <v>35</v>
      </c>
      <c r="H468" s="6">
        <v>4205.29</v>
      </c>
      <c r="I468" s="6">
        <v>4382.3500000000004</v>
      </c>
      <c r="J468" s="8" t="s">
        <v>30</v>
      </c>
      <c r="K468" s="12">
        <v>0.25</v>
      </c>
      <c r="L468" s="8" t="s">
        <v>18</v>
      </c>
      <c r="M468" s="8" t="s">
        <v>22</v>
      </c>
      <c r="N468" s="10" t="s">
        <v>52</v>
      </c>
      <c r="O468" s="17">
        <f xml:space="preserve"> (Tabla1[[#This Row],[Unit_Price]] - Tabla1[[#This Row],[Unit_Cost]] ) * Tabla1[[#This Row],[Quantity_Sold]]</f>
        <v>7436.5200000000168</v>
      </c>
      <c r="P468" s="12">
        <f>Tabla1[[#This Row],[Profit]] / Tabla1[[#This Row],[Sales_Calculated]]</f>
        <v>4.0402980136228367E-2</v>
      </c>
      <c r="Q468" s="20">
        <f xml:space="preserve"> Tabla1[[#This Row],[Unit_Price]] * Tabla1[[#This Row],[Quantity_Sold]]</f>
        <v>184058.7</v>
      </c>
    </row>
    <row r="469" spans="1:17" x14ac:dyDescent="0.3">
      <c r="A469" s="2">
        <v>1052</v>
      </c>
      <c r="B469" s="1">
        <v>45238</v>
      </c>
      <c r="C469" s="8" t="s">
        <v>33</v>
      </c>
      <c r="D469" s="8" t="s">
        <v>34</v>
      </c>
      <c r="E469" s="6">
        <v>2072.7800000000002</v>
      </c>
      <c r="F469" s="2">
        <v>18</v>
      </c>
      <c r="G469" s="8" t="s">
        <v>16</v>
      </c>
      <c r="H469" s="6">
        <v>3271.62</v>
      </c>
      <c r="I469" s="6">
        <v>3722.38</v>
      </c>
      <c r="J469" s="8" t="s">
        <v>17</v>
      </c>
      <c r="K469" s="12">
        <v>0.19</v>
      </c>
      <c r="L469" s="8" t="s">
        <v>27</v>
      </c>
      <c r="M469" s="8" t="s">
        <v>22</v>
      </c>
      <c r="N469" s="10" t="s">
        <v>36</v>
      </c>
      <c r="O469" s="17">
        <f xml:space="preserve"> (Tabla1[[#This Row],[Unit_Price]] - Tabla1[[#This Row],[Unit_Cost]] ) * Tabla1[[#This Row],[Quantity_Sold]]</f>
        <v>8113.6800000000039</v>
      </c>
      <c r="P469" s="12">
        <f>Tabla1[[#This Row],[Profit]] / Tabla1[[#This Row],[Sales_Calculated]]</f>
        <v>0.12109456852873705</v>
      </c>
      <c r="Q469" s="20">
        <f xml:space="preserve"> Tabla1[[#This Row],[Unit_Price]] * Tabla1[[#This Row],[Quantity_Sold]]</f>
        <v>67002.84</v>
      </c>
    </row>
    <row r="470" spans="1:17" x14ac:dyDescent="0.3">
      <c r="A470" s="2">
        <v>1016</v>
      </c>
      <c r="B470" s="1">
        <v>45215</v>
      </c>
      <c r="C470" s="8" t="s">
        <v>38</v>
      </c>
      <c r="D470" s="8" t="s">
        <v>21</v>
      </c>
      <c r="E470" s="6">
        <v>8786.9500000000007</v>
      </c>
      <c r="F470" s="2">
        <v>11</v>
      </c>
      <c r="G470" s="8" t="s">
        <v>35</v>
      </c>
      <c r="H470" s="6">
        <v>3094.57</v>
      </c>
      <c r="I470" s="6">
        <v>3565.6</v>
      </c>
      <c r="J470" s="8" t="s">
        <v>17</v>
      </c>
      <c r="K470" s="12">
        <v>0.1</v>
      </c>
      <c r="L470" s="8" t="s">
        <v>31</v>
      </c>
      <c r="M470" s="8" t="s">
        <v>22</v>
      </c>
      <c r="N470" s="10" t="s">
        <v>41</v>
      </c>
      <c r="O470" s="17">
        <f xml:space="preserve"> (Tabla1[[#This Row],[Unit_Price]] - Tabla1[[#This Row],[Unit_Cost]] ) * Tabla1[[#This Row],[Quantity_Sold]]</f>
        <v>5181.3299999999972</v>
      </c>
      <c r="P470" s="12">
        <f>Tabla1[[#This Row],[Profit]] / Tabla1[[#This Row],[Sales_Calculated]]</f>
        <v>0.13210399371774731</v>
      </c>
      <c r="Q470" s="20">
        <f xml:space="preserve"> Tabla1[[#This Row],[Unit_Price]] * Tabla1[[#This Row],[Quantity_Sold]]</f>
        <v>39221.599999999999</v>
      </c>
    </row>
    <row r="471" spans="1:17" x14ac:dyDescent="0.3">
      <c r="A471" s="2">
        <v>1013</v>
      </c>
      <c r="B471" s="1">
        <v>45176</v>
      </c>
      <c r="C471" s="8" t="s">
        <v>42</v>
      </c>
      <c r="D471" s="8" t="s">
        <v>21</v>
      </c>
      <c r="E471" s="6">
        <v>7413.36</v>
      </c>
      <c r="F471" s="2">
        <v>16</v>
      </c>
      <c r="G471" s="8" t="s">
        <v>16</v>
      </c>
      <c r="H471" s="6">
        <v>919.58</v>
      </c>
      <c r="I471" s="6">
        <v>1258.3</v>
      </c>
      <c r="J471" s="8" t="s">
        <v>17</v>
      </c>
      <c r="K471" s="12">
        <v>0.14000000000000001</v>
      </c>
      <c r="L471" s="8" t="s">
        <v>27</v>
      </c>
      <c r="M471" s="8" t="s">
        <v>19</v>
      </c>
      <c r="N471" s="10" t="s">
        <v>51</v>
      </c>
      <c r="O471" s="17">
        <f xml:space="preserve"> (Tabla1[[#This Row],[Unit_Price]] - Tabla1[[#This Row],[Unit_Cost]] ) * Tabla1[[#This Row],[Quantity_Sold]]</f>
        <v>5419.5199999999986</v>
      </c>
      <c r="P471" s="12">
        <f>Tabla1[[#This Row],[Profit]] / Tabla1[[#This Row],[Sales_Calculated]]</f>
        <v>0.26918858777715959</v>
      </c>
      <c r="Q471" s="20">
        <f xml:space="preserve"> Tabla1[[#This Row],[Unit_Price]] * Tabla1[[#This Row],[Quantity_Sold]]</f>
        <v>20132.8</v>
      </c>
    </row>
    <row r="472" spans="1:17" x14ac:dyDescent="0.3">
      <c r="A472" s="2">
        <v>1030</v>
      </c>
      <c r="B472" s="1">
        <v>44962</v>
      </c>
      <c r="C472" s="8" t="s">
        <v>24</v>
      </c>
      <c r="D472" s="8" t="s">
        <v>34</v>
      </c>
      <c r="E472" s="6">
        <v>236.08</v>
      </c>
      <c r="F472" s="2">
        <v>49</v>
      </c>
      <c r="G472" s="8" t="s">
        <v>16</v>
      </c>
      <c r="H472" s="6">
        <v>2590.29</v>
      </c>
      <c r="I472" s="6">
        <v>2925.86</v>
      </c>
      <c r="J472" s="8" t="s">
        <v>17</v>
      </c>
      <c r="K472" s="12">
        <v>0.26</v>
      </c>
      <c r="L472" s="8" t="s">
        <v>18</v>
      </c>
      <c r="M472" s="8" t="s">
        <v>22</v>
      </c>
      <c r="N472" s="10" t="s">
        <v>50</v>
      </c>
      <c r="O472" s="17">
        <f xml:space="preserve"> (Tabla1[[#This Row],[Unit_Price]] - Tabla1[[#This Row],[Unit_Cost]] ) * Tabla1[[#This Row],[Quantity_Sold]]</f>
        <v>16442.930000000008</v>
      </c>
      <c r="P472" s="12">
        <f>Tabla1[[#This Row],[Profit]] / Tabla1[[#This Row],[Sales_Calculated]]</f>
        <v>0.11469106519108915</v>
      </c>
      <c r="Q472" s="20">
        <f xml:space="preserve"> Tabla1[[#This Row],[Unit_Price]] * Tabla1[[#This Row],[Quantity_Sold]]</f>
        <v>143367.14000000001</v>
      </c>
    </row>
    <row r="473" spans="1:17" x14ac:dyDescent="0.3">
      <c r="A473" s="2">
        <v>1019</v>
      </c>
      <c r="B473" s="1">
        <v>45165</v>
      </c>
      <c r="C473" s="8" t="s">
        <v>33</v>
      </c>
      <c r="D473" s="8" t="s">
        <v>15</v>
      </c>
      <c r="E473" s="6">
        <v>2558.92</v>
      </c>
      <c r="F473" s="2">
        <v>18</v>
      </c>
      <c r="G473" s="8" t="s">
        <v>26</v>
      </c>
      <c r="H473" s="6">
        <v>3591.14</v>
      </c>
      <c r="I473" s="6">
        <v>3822.99</v>
      </c>
      <c r="J473" s="8" t="s">
        <v>17</v>
      </c>
      <c r="K473" s="12">
        <v>0.09</v>
      </c>
      <c r="L473" s="8" t="s">
        <v>31</v>
      </c>
      <c r="M473" s="8" t="s">
        <v>19</v>
      </c>
      <c r="N473" s="10" t="s">
        <v>53</v>
      </c>
      <c r="O473" s="17">
        <f xml:space="preserve"> (Tabla1[[#This Row],[Unit_Price]] - Tabla1[[#This Row],[Unit_Cost]] ) * Tabla1[[#This Row],[Quantity_Sold]]</f>
        <v>4173.2999999999984</v>
      </c>
      <c r="P473" s="12">
        <f>Tabla1[[#This Row],[Profit]] / Tabla1[[#This Row],[Sales_Calculated]]</f>
        <v>6.064624809376952E-2</v>
      </c>
      <c r="Q473" s="20">
        <f xml:space="preserve"> Tabla1[[#This Row],[Unit_Price]] * Tabla1[[#This Row],[Quantity_Sold]]</f>
        <v>68813.819999999992</v>
      </c>
    </row>
    <row r="474" spans="1:17" x14ac:dyDescent="0.3">
      <c r="A474" s="2">
        <v>1017</v>
      </c>
      <c r="B474" s="1">
        <v>45074</v>
      </c>
      <c r="C474" s="8" t="s">
        <v>24</v>
      </c>
      <c r="D474" s="8" t="s">
        <v>34</v>
      </c>
      <c r="E474" s="6">
        <v>2222.62</v>
      </c>
      <c r="F474" s="2">
        <v>35</v>
      </c>
      <c r="G474" s="8" t="s">
        <v>35</v>
      </c>
      <c r="H474" s="6">
        <v>4867.6400000000003</v>
      </c>
      <c r="I474" s="6">
        <v>5287.05</v>
      </c>
      <c r="J474" s="8" t="s">
        <v>17</v>
      </c>
      <c r="K474" s="12">
        <v>0.28000000000000003</v>
      </c>
      <c r="L474" s="8" t="s">
        <v>31</v>
      </c>
      <c r="M474" s="8" t="s">
        <v>19</v>
      </c>
      <c r="N474" s="10" t="s">
        <v>50</v>
      </c>
      <c r="O474" s="17">
        <f xml:space="preserve"> (Tabla1[[#This Row],[Unit_Price]] - Tabla1[[#This Row],[Unit_Cost]] ) * Tabla1[[#This Row],[Quantity_Sold]]</f>
        <v>14679.349999999995</v>
      </c>
      <c r="P474" s="12">
        <f>Tabla1[[#This Row],[Profit]] / Tabla1[[#This Row],[Sales_Calculated]]</f>
        <v>7.9327791490528723E-2</v>
      </c>
      <c r="Q474" s="20">
        <f xml:space="preserve"> Tabla1[[#This Row],[Unit_Price]] * Tabla1[[#This Row],[Quantity_Sold]]</f>
        <v>185046.75</v>
      </c>
    </row>
    <row r="475" spans="1:17" x14ac:dyDescent="0.3">
      <c r="A475" s="2">
        <v>1063</v>
      </c>
      <c r="B475" s="1">
        <v>45153</v>
      </c>
      <c r="C475" s="8" t="s">
        <v>42</v>
      </c>
      <c r="D475" s="8" t="s">
        <v>34</v>
      </c>
      <c r="E475" s="6">
        <v>2780.98</v>
      </c>
      <c r="F475" s="2">
        <v>26</v>
      </c>
      <c r="G475" s="8" t="s">
        <v>26</v>
      </c>
      <c r="H475" s="6">
        <v>1046.96</v>
      </c>
      <c r="I475" s="6">
        <v>1528.15</v>
      </c>
      <c r="J475" s="8" t="s">
        <v>30</v>
      </c>
      <c r="K475" s="12">
        <v>7.0000000000000007E-2</v>
      </c>
      <c r="L475" s="8" t="s">
        <v>31</v>
      </c>
      <c r="M475" s="8" t="s">
        <v>22</v>
      </c>
      <c r="N475" s="10" t="s">
        <v>52</v>
      </c>
      <c r="O475" s="17">
        <f xml:space="preserve"> (Tabla1[[#This Row],[Unit_Price]] - Tabla1[[#This Row],[Unit_Cost]] ) * Tabla1[[#This Row],[Quantity_Sold]]</f>
        <v>12510.940000000002</v>
      </c>
      <c r="P475" s="12">
        <f>Tabla1[[#This Row],[Profit]] / Tabla1[[#This Row],[Sales_Calculated]]</f>
        <v>0.3148840100775448</v>
      </c>
      <c r="Q475" s="20">
        <f xml:space="preserve"> Tabla1[[#This Row],[Unit_Price]] * Tabla1[[#This Row],[Quantity_Sold]]</f>
        <v>39731.9</v>
      </c>
    </row>
    <row r="476" spans="1:17" x14ac:dyDescent="0.3">
      <c r="A476" s="2">
        <v>1019</v>
      </c>
      <c r="B476" s="1">
        <v>45170</v>
      </c>
      <c r="C476" s="8" t="s">
        <v>24</v>
      </c>
      <c r="D476" s="8" t="s">
        <v>21</v>
      </c>
      <c r="E476" s="6">
        <v>2550.84</v>
      </c>
      <c r="F476" s="2">
        <v>16</v>
      </c>
      <c r="G476" s="8" t="s">
        <v>29</v>
      </c>
      <c r="H476" s="6">
        <v>97.24</v>
      </c>
      <c r="I476" s="6">
        <v>487.03</v>
      </c>
      <c r="J476" s="8" t="s">
        <v>30</v>
      </c>
      <c r="K476" s="12">
        <v>0.22</v>
      </c>
      <c r="L476" s="8" t="s">
        <v>27</v>
      </c>
      <c r="M476" s="8" t="s">
        <v>22</v>
      </c>
      <c r="N476" s="10" t="s">
        <v>47</v>
      </c>
      <c r="O476" s="17">
        <f xml:space="preserve"> (Tabla1[[#This Row],[Unit_Price]] - Tabla1[[#This Row],[Unit_Cost]] ) * Tabla1[[#This Row],[Quantity_Sold]]</f>
        <v>6236.6399999999994</v>
      </c>
      <c r="P476" s="12">
        <f>Tabla1[[#This Row],[Profit]] / Tabla1[[#This Row],[Sales_Calculated]]</f>
        <v>0.80034084142660611</v>
      </c>
      <c r="Q476" s="20">
        <f xml:space="preserve"> Tabla1[[#This Row],[Unit_Price]] * Tabla1[[#This Row],[Quantity_Sold]]</f>
        <v>7792.48</v>
      </c>
    </row>
    <row r="477" spans="1:17" x14ac:dyDescent="0.3">
      <c r="A477" s="2">
        <v>1092</v>
      </c>
      <c r="B477" s="1">
        <v>45263</v>
      </c>
      <c r="C477" s="8" t="s">
        <v>24</v>
      </c>
      <c r="D477" s="8" t="s">
        <v>34</v>
      </c>
      <c r="E477" s="6">
        <v>719.01</v>
      </c>
      <c r="F477" s="2">
        <v>6</v>
      </c>
      <c r="G477" s="8" t="s">
        <v>29</v>
      </c>
      <c r="H477" s="6">
        <v>422.74</v>
      </c>
      <c r="I477" s="6">
        <v>737.49</v>
      </c>
      <c r="J477" s="8" t="s">
        <v>17</v>
      </c>
      <c r="K477" s="12">
        <v>0.19</v>
      </c>
      <c r="L477" s="8" t="s">
        <v>31</v>
      </c>
      <c r="M477" s="8" t="s">
        <v>22</v>
      </c>
      <c r="N477" s="10" t="s">
        <v>50</v>
      </c>
      <c r="O477" s="17">
        <f xml:space="preserve"> (Tabla1[[#This Row],[Unit_Price]] - Tabla1[[#This Row],[Unit_Cost]] ) * Tabla1[[#This Row],[Quantity_Sold]]</f>
        <v>1888.5</v>
      </c>
      <c r="P477" s="12">
        <f>Tabla1[[#This Row],[Profit]] / Tabla1[[#This Row],[Sales_Calculated]]</f>
        <v>0.42678544793827711</v>
      </c>
      <c r="Q477" s="20">
        <f xml:space="preserve"> Tabla1[[#This Row],[Unit_Price]] * Tabla1[[#This Row],[Quantity_Sold]]</f>
        <v>4424.9400000000005</v>
      </c>
    </row>
    <row r="478" spans="1:17" x14ac:dyDescent="0.3">
      <c r="A478" s="2">
        <v>1058</v>
      </c>
      <c r="B478" s="1">
        <v>45291</v>
      </c>
      <c r="C478" s="8" t="s">
        <v>42</v>
      </c>
      <c r="D478" s="8" t="s">
        <v>21</v>
      </c>
      <c r="E478" s="6">
        <v>4643.51</v>
      </c>
      <c r="F478" s="2">
        <v>44</v>
      </c>
      <c r="G478" s="8" t="s">
        <v>29</v>
      </c>
      <c r="H478" s="6">
        <v>1910.47</v>
      </c>
      <c r="I478" s="6">
        <v>2217.8000000000002</v>
      </c>
      <c r="J478" s="8" t="s">
        <v>30</v>
      </c>
      <c r="K478" s="12">
        <v>0.22</v>
      </c>
      <c r="L478" s="8" t="s">
        <v>27</v>
      </c>
      <c r="M478" s="8" t="s">
        <v>19</v>
      </c>
      <c r="N478" s="10" t="s">
        <v>51</v>
      </c>
      <c r="O478" s="17">
        <f xml:space="preserve"> (Tabla1[[#This Row],[Unit_Price]] - Tabla1[[#This Row],[Unit_Cost]] ) * Tabla1[[#This Row],[Quantity_Sold]]</f>
        <v>13522.520000000008</v>
      </c>
      <c r="P478" s="12">
        <f>Tabla1[[#This Row],[Profit]] / Tabla1[[#This Row],[Sales_Calculated]]</f>
        <v>0.13857426278293811</v>
      </c>
      <c r="Q478" s="20">
        <f xml:space="preserve"> Tabla1[[#This Row],[Unit_Price]] * Tabla1[[#This Row],[Quantity_Sold]]</f>
        <v>97583.200000000012</v>
      </c>
    </row>
    <row r="479" spans="1:17" x14ac:dyDescent="0.3">
      <c r="A479" s="2">
        <v>1055</v>
      </c>
      <c r="B479" s="1">
        <v>45127</v>
      </c>
      <c r="C479" s="8" t="s">
        <v>38</v>
      </c>
      <c r="D479" s="8" t="s">
        <v>21</v>
      </c>
      <c r="E479" s="6">
        <v>7354.06</v>
      </c>
      <c r="F479" s="2">
        <v>43</v>
      </c>
      <c r="G479" s="8" t="s">
        <v>16</v>
      </c>
      <c r="H479" s="6">
        <v>4111.7</v>
      </c>
      <c r="I479" s="6">
        <v>4537.9399999999996</v>
      </c>
      <c r="J479" s="8" t="s">
        <v>17</v>
      </c>
      <c r="K479" s="12">
        <v>0.13</v>
      </c>
      <c r="L479" s="8" t="s">
        <v>27</v>
      </c>
      <c r="M479" s="8" t="s">
        <v>19</v>
      </c>
      <c r="N479" s="10" t="s">
        <v>41</v>
      </c>
      <c r="O479" s="17">
        <f xml:space="preserve"> (Tabla1[[#This Row],[Unit_Price]] - Tabla1[[#This Row],[Unit_Cost]] ) * Tabla1[[#This Row],[Quantity_Sold]]</f>
        <v>18328.319999999992</v>
      </c>
      <c r="P479" s="12">
        <f>Tabla1[[#This Row],[Profit]] / Tabla1[[#This Row],[Sales_Calculated]]</f>
        <v>9.3928081905005317E-2</v>
      </c>
      <c r="Q479" s="20">
        <f xml:space="preserve"> Tabla1[[#This Row],[Unit_Price]] * Tabla1[[#This Row],[Quantity_Sold]]</f>
        <v>195131.41999999998</v>
      </c>
    </row>
    <row r="480" spans="1:17" x14ac:dyDescent="0.3">
      <c r="A480" s="2">
        <v>1090</v>
      </c>
      <c r="B480" s="1">
        <v>45080</v>
      </c>
      <c r="C480" s="8" t="s">
        <v>24</v>
      </c>
      <c r="D480" s="8" t="s">
        <v>25</v>
      </c>
      <c r="E480" s="6">
        <v>6106.64</v>
      </c>
      <c r="F480" s="2">
        <v>47</v>
      </c>
      <c r="G480" s="8" t="s">
        <v>16</v>
      </c>
      <c r="H480" s="6">
        <v>85.35</v>
      </c>
      <c r="I480" s="6">
        <v>360.539999999999</v>
      </c>
      <c r="J480" s="8" t="s">
        <v>30</v>
      </c>
      <c r="K480" s="12">
        <v>0.28000000000000003</v>
      </c>
      <c r="L480" s="8" t="s">
        <v>18</v>
      </c>
      <c r="M480" s="8" t="s">
        <v>19</v>
      </c>
      <c r="N480" s="10" t="s">
        <v>28</v>
      </c>
      <c r="O480" s="17">
        <f xml:space="preserve"> (Tabla1[[#This Row],[Unit_Price]] - Tabla1[[#This Row],[Unit_Cost]] ) * Tabla1[[#This Row],[Quantity_Sold]]</f>
        <v>12933.929999999955</v>
      </c>
      <c r="P480" s="12">
        <f>Tabla1[[#This Row],[Profit]] / Tabla1[[#This Row],[Sales_Calculated]]</f>
        <v>0.76327175902812394</v>
      </c>
      <c r="Q480" s="20">
        <f xml:space="preserve"> Tabla1[[#This Row],[Unit_Price]] * Tabla1[[#This Row],[Quantity_Sold]]</f>
        <v>16945.379999999954</v>
      </c>
    </row>
    <row r="481" spans="1:17" x14ac:dyDescent="0.3">
      <c r="A481" s="2">
        <v>1090</v>
      </c>
      <c r="B481" s="1">
        <v>44999</v>
      </c>
      <c r="C481" s="8" t="s">
        <v>24</v>
      </c>
      <c r="D481" s="8" t="s">
        <v>34</v>
      </c>
      <c r="E481" s="6">
        <v>6761.43</v>
      </c>
      <c r="F481" s="2">
        <v>47</v>
      </c>
      <c r="G481" s="8" t="s">
        <v>16</v>
      </c>
      <c r="H481" s="6">
        <v>2310.8200000000002</v>
      </c>
      <c r="I481" s="6">
        <v>2714.71</v>
      </c>
      <c r="J481" s="8" t="s">
        <v>30</v>
      </c>
      <c r="K481" s="12">
        <v>0.19</v>
      </c>
      <c r="L481" s="8" t="s">
        <v>18</v>
      </c>
      <c r="M481" s="8" t="s">
        <v>22</v>
      </c>
      <c r="N481" s="10" t="s">
        <v>50</v>
      </c>
      <c r="O481" s="17">
        <f xml:space="preserve"> (Tabla1[[#This Row],[Unit_Price]] - Tabla1[[#This Row],[Unit_Cost]] ) * Tabla1[[#This Row],[Quantity_Sold]]</f>
        <v>18982.829999999994</v>
      </c>
      <c r="P481" s="12">
        <f>Tabla1[[#This Row],[Profit]] / Tabla1[[#This Row],[Sales_Calculated]]</f>
        <v>0.14877832254642298</v>
      </c>
      <c r="Q481" s="20">
        <f xml:space="preserve"> Tabla1[[#This Row],[Unit_Price]] * Tabla1[[#This Row],[Quantity_Sold]]</f>
        <v>127591.37</v>
      </c>
    </row>
    <row r="482" spans="1:17" x14ac:dyDescent="0.3">
      <c r="A482" s="2">
        <v>1062</v>
      </c>
      <c r="B482" s="1">
        <v>45127</v>
      </c>
      <c r="C482" s="8" t="s">
        <v>38</v>
      </c>
      <c r="D482" s="8" t="s">
        <v>15</v>
      </c>
      <c r="E482" s="6">
        <v>903.38</v>
      </c>
      <c r="F482" s="2">
        <v>48</v>
      </c>
      <c r="G482" s="8" t="s">
        <v>35</v>
      </c>
      <c r="H482" s="6">
        <v>1679.69</v>
      </c>
      <c r="I482" s="6">
        <v>1939.04</v>
      </c>
      <c r="J482" s="8" t="s">
        <v>30</v>
      </c>
      <c r="K482" s="12">
        <v>0.09</v>
      </c>
      <c r="L482" s="8" t="s">
        <v>31</v>
      </c>
      <c r="M482" s="8" t="s">
        <v>19</v>
      </c>
      <c r="N482" s="10" t="s">
        <v>40</v>
      </c>
      <c r="O482" s="17">
        <f xml:space="preserve"> (Tabla1[[#This Row],[Unit_Price]] - Tabla1[[#This Row],[Unit_Cost]] ) * Tabla1[[#This Row],[Quantity_Sold]]</f>
        <v>12448.799999999996</v>
      </c>
      <c r="P482" s="12">
        <f>Tabla1[[#This Row],[Profit]] / Tabla1[[#This Row],[Sales_Calculated]]</f>
        <v>0.13375175344500367</v>
      </c>
      <c r="Q482" s="20">
        <f xml:space="preserve"> Tabla1[[#This Row],[Unit_Price]] * Tabla1[[#This Row],[Quantity_Sold]]</f>
        <v>93073.919999999998</v>
      </c>
    </row>
    <row r="483" spans="1:17" x14ac:dyDescent="0.3">
      <c r="A483" s="2">
        <v>1023</v>
      </c>
      <c r="B483" s="1">
        <v>45222</v>
      </c>
      <c r="C483" s="8" t="s">
        <v>24</v>
      </c>
      <c r="D483" s="8" t="s">
        <v>25</v>
      </c>
      <c r="E483" s="6">
        <v>9519.76</v>
      </c>
      <c r="F483" s="2">
        <v>42</v>
      </c>
      <c r="G483" s="8" t="s">
        <v>26</v>
      </c>
      <c r="H483" s="6">
        <v>309.77999999999997</v>
      </c>
      <c r="I483" s="6">
        <v>350.38</v>
      </c>
      <c r="J483" s="8" t="s">
        <v>17</v>
      </c>
      <c r="K483" s="12">
        <v>0.19</v>
      </c>
      <c r="L483" s="8" t="s">
        <v>31</v>
      </c>
      <c r="M483" s="8" t="s">
        <v>22</v>
      </c>
      <c r="N483" s="10" t="s">
        <v>28</v>
      </c>
      <c r="O483" s="17">
        <f xml:space="preserve"> (Tabla1[[#This Row],[Unit_Price]] - Tabla1[[#This Row],[Unit_Cost]] ) * Tabla1[[#This Row],[Quantity_Sold]]</f>
        <v>1705.200000000001</v>
      </c>
      <c r="P483" s="12">
        <f>Tabla1[[#This Row],[Profit]] / Tabla1[[#This Row],[Sales_Calculated]]</f>
        <v>0.11587419373251905</v>
      </c>
      <c r="Q483" s="20">
        <f xml:space="preserve"> Tabla1[[#This Row],[Unit_Price]] * Tabla1[[#This Row],[Quantity_Sold]]</f>
        <v>14715.96</v>
      </c>
    </row>
    <row r="484" spans="1:17" x14ac:dyDescent="0.3">
      <c r="A484" s="2">
        <v>1009</v>
      </c>
      <c r="B484" s="1">
        <v>44943</v>
      </c>
      <c r="C484" s="8" t="s">
        <v>24</v>
      </c>
      <c r="D484" s="8" t="s">
        <v>21</v>
      </c>
      <c r="E484" s="6">
        <v>8401.07</v>
      </c>
      <c r="F484" s="2">
        <v>12</v>
      </c>
      <c r="G484" s="8" t="s">
        <v>16</v>
      </c>
      <c r="H484" s="6">
        <v>2278.67</v>
      </c>
      <c r="I484" s="6">
        <v>2476.8000000000002</v>
      </c>
      <c r="J484" s="8" t="s">
        <v>30</v>
      </c>
      <c r="K484" s="12">
        <v>0.09</v>
      </c>
      <c r="L484" s="8" t="s">
        <v>18</v>
      </c>
      <c r="M484" s="8" t="s">
        <v>22</v>
      </c>
      <c r="N484" s="10" t="s">
        <v>47</v>
      </c>
      <c r="O484" s="17">
        <f xml:space="preserve"> (Tabla1[[#This Row],[Unit_Price]] - Tabla1[[#This Row],[Unit_Cost]] ) * Tabla1[[#This Row],[Quantity_Sold]]</f>
        <v>2377.5600000000013</v>
      </c>
      <c r="P484" s="12">
        <f>Tabla1[[#This Row],[Profit]] / Tabla1[[#This Row],[Sales_Calculated]]</f>
        <v>7.9994347545219682E-2</v>
      </c>
      <c r="Q484" s="20">
        <f xml:space="preserve"> Tabla1[[#This Row],[Unit_Price]] * Tabla1[[#This Row],[Quantity_Sold]]</f>
        <v>29721.600000000002</v>
      </c>
    </row>
    <row r="485" spans="1:17" x14ac:dyDescent="0.3">
      <c r="A485" s="2">
        <v>1012</v>
      </c>
      <c r="B485" s="1">
        <v>45055</v>
      </c>
      <c r="C485" s="8" t="s">
        <v>24</v>
      </c>
      <c r="D485" s="8" t="s">
        <v>21</v>
      </c>
      <c r="E485" s="6">
        <v>8070.39</v>
      </c>
      <c r="F485" s="2">
        <v>13</v>
      </c>
      <c r="G485" s="8" t="s">
        <v>26</v>
      </c>
      <c r="H485" s="6">
        <v>1311.01</v>
      </c>
      <c r="I485" s="6">
        <v>1538.79</v>
      </c>
      <c r="J485" s="8" t="s">
        <v>17</v>
      </c>
      <c r="K485" s="12">
        <v>0.09</v>
      </c>
      <c r="L485" s="8" t="s">
        <v>27</v>
      </c>
      <c r="M485" s="8" t="s">
        <v>22</v>
      </c>
      <c r="N485" s="10" t="s">
        <v>47</v>
      </c>
      <c r="O485" s="17">
        <f xml:space="preserve"> (Tabla1[[#This Row],[Unit_Price]] - Tabla1[[#This Row],[Unit_Cost]] ) * Tabla1[[#This Row],[Quantity_Sold]]</f>
        <v>2961.1399999999994</v>
      </c>
      <c r="P485" s="12">
        <f>Tabla1[[#This Row],[Profit]] / Tabla1[[#This Row],[Sales_Calculated]]</f>
        <v>0.14802539657783059</v>
      </c>
      <c r="Q485" s="20">
        <f xml:space="preserve"> Tabla1[[#This Row],[Unit_Price]] * Tabla1[[#This Row],[Quantity_Sold]]</f>
        <v>20004.27</v>
      </c>
    </row>
    <row r="486" spans="1:17" x14ac:dyDescent="0.3">
      <c r="A486" s="2">
        <v>1001</v>
      </c>
      <c r="B486" s="1">
        <v>45143</v>
      </c>
      <c r="C486" s="8" t="s">
        <v>14</v>
      </c>
      <c r="D486" s="8" t="s">
        <v>15</v>
      </c>
      <c r="E486" s="6">
        <v>8247.5400000000009</v>
      </c>
      <c r="F486" s="2">
        <v>4</v>
      </c>
      <c r="G486" s="8" t="s">
        <v>26</v>
      </c>
      <c r="H486" s="6">
        <v>1791.83</v>
      </c>
      <c r="I486" s="6">
        <v>1871.22</v>
      </c>
      <c r="J486" s="8" t="s">
        <v>17</v>
      </c>
      <c r="K486" s="12">
        <v>0.12</v>
      </c>
      <c r="L486" s="8" t="s">
        <v>27</v>
      </c>
      <c r="M486" s="8" t="s">
        <v>19</v>
      </c>
      <c r="N486" s="10" t="s">
        <v>20</v>
      </c>
      <c r="O486" s="17">
        <f xml:space="preserve"> (Tabla1[[#This Row],[Unit_Price]] - Tabla1[[#This Row],[Unit_Cost]] ) * Tabla1[[#This Row],[Quantity_Sold]]</f>
        <v>317.5600000000004</v>
      </c>
      <c r="P486" s="12">
        <f>Tabla1[[#This Row],[Profit]] / Tabla1[[#This Row],[Sales_Calculated]]</f>
        <v>4.2426865894977663E-2</v>
      </c>
      <c r="Q486" s="20">
        <f xml:space="preserve"> Tabla1[[#This Row],[Unit_Price]] * Tabla1[[#This Row],[Quantity_Sold]]</f>
        <v>7484.88</v>
      </c>
    </row>
    <row r="487" spans="1:17" x14ac:dyDescent="0.3">
      <c r="A487" s="2">
        <v>1058</v>
      </c>
      <c r="B487" s="1">
        <v>44987</v>
      </c>
      <c r="C487" s="8" t="s">
        <v>38</v>
      </c>
      <c r="D487" s="8" t="s">
        <v>21</v>
      </c>
      <c r="E487" s="6">
        <v>9333.83</v>
      </c>
      <c r="F487" s="2">
        <v>39</v>
      </c>
      <c r="G487" s="8" t="s">
        <v>26</v>
      </c>
      <c r="H487" s="6">
        <v>3542.8</v>
      </c>
      <c r="I487" s="6">
        <v>3603.02</v>
      </c>
      <c r="J487" s="8" t="s">
        <v>17</v>
      </c>
      <c r="K487" s="12">
        <v>0.26</v>
      </c>
      <c r="L487" s="8" t="s">
        <v>18</v>
      </c>
      <c r="M487" s="8" t="s">
        <v>19</v>
      </c>
      <c r="N487" s="10" t="s">
        <v>41</v>
      </c>
      <c r="O487" s="17">
        <f xml:space="preserve"> (Tabla1[[#This Row],[Unit_Price]] - Tabla1[[#This Row],[Unit_Cost]] ) * Tabla1[[#This Row],[Quantity_Sold]]</f>
        <v>2348.5799999999922</v>
      </c>
      <c r="P487" s="12">
        <f>Tabla1[[#This Row],[Profit]] / Tabla1[[#This Row],[Sales_Calculated]]</f>
        <v>1.6713756792912558E-2</v>
      </c>
      <c r="Q487" s="20">
        <f xml:space="preserve"> Tabla1[[#This Row],[Unit_Price]] * Tabla1[[#This Row],[Quantity_Sold]]</f>
        <v>140517.78</v>
      </c>
    </row>
    <row r="488" spans="1:17" x14ac:dyDescent="0.3">
      <c r="A488" s="2">
        <v>1001</v>
      </c>
      <c r="B488" s="1">
        <v>45030</v>
      </c>
      <c r="C488" s="8" t="s">
        <v>24</v>
      </c>
      <c r="D488" s="8" t="s">
        <v>34</v>
      </c>
      <c r="E488" s="6">
        <v>5488.11</v>
      </c>
      <c r="F488" s="2">
        <v>2</v>
      </c>
      <c r="G488" s="8" t="s">
        <v>35</v>
      </c>
      <c r="H488" s="6">
        <v>2631.68</v>
      </c>
      <c r="I488" s="6">
        <v>2904.06</v>
      </c>
      <c r="J488" s="8" t="s">
        <v>30</v>
      </c>
      <c r="K488" s="12">
        <v>0.15</v>
      </c>
      <c r="L488" s="8" t="s">
        <v>27</v>
      </c>
      <c r="M488" s="8" t="s">
        <v>19</v>
      </c>
      <c r="N488" s="10" t="s">
        <v>50</v>
      </c>
      <c r="O488" s="17">
        <f xml:space="preserve"> (Tabla1[[#This Row],[Unit_Price]] - Tabla1[[#This Row],[Unit_Cost]] ) * Tabla1[[#This Row],[Quantity_Sold]]</f>
        <v>544.76000000000022</v>
      </c>
      <c r="P488" s="12">
        <f>Tabla1[[#This Row],[Profit]] / Tabla1[[#This Row],[Sales_Calculated]]</f>
        <v>9.3792827971873896E-2</v>
      </c>
      <c r="Q488" s="20">
        <f xml:space="preserve"> Tabla1[[#This Row],[Unit_Price]] * Tabla1[[#This Row],[Quantity_Sold]]</f>
        <v>5808.12</v>
      </c>
    </row>
    <row r="489" spans="1:17" x14ac:dyDescent="0.3">
      <c r="A489" s="2">
        <v>1034</v>
      </c>
      <c r="B489" s="1">
        <v>44968</v>
      </c>
      <c r="C489" s="8" t="s">
        <v>38</v>
      </c>
      <c r="D489" s="8" t="s">
        <v>25</v>
      </c>
      <c r="E489" s="6">
        <v>2082.79</v>
      </c>
      <c r="F489" s="2">
        <v>26</v>
      </c>
      <c r="G489" s="8" t="s">
        <v>35</v>
      </c>
      <c r="H489" s="6">
        <v>667</v>
      </c>
      <c r="I489" s="6">
        <v>718.72</v>
      </c>
      <c r="J489" s="8" t="s">
        <v>30</v>
      </c>
      <c r="K489" s="12">
        <v>0.2</v>
      </c>
      <c r="L489" s="8" t="s">
        <v>18</v>
      </c>
      <c r="M489" s="8" t="s">
        <v>22</v>
      </c>
      <c r="N489" s="10" t="s">
        <v>39</v>
      </c>
      <c r="O489" s="17">
        <f xml:space="preserve"> (Tabla1[[#This Row],[Unit_Price]] - Tabla1[[#This Row],[Unit_Cost]] ) * Tabla1[[#This Row],[Quantity_Sold]]</f>
        <v>1344.7200000000007</v>
      </c>
      <c r="P489" s="12">
        <f>Tabla1[[#This Row],[Profit]] / Tabla1[[#This Row],[Sales_Calculated]]</f>
        <v>7.196126447016922E-2</v>
      </c>
      <c r="Q489" s="20">
        <f xml:space="preserve"> Tabla1[[#This Row],[Unit_Price]] * Tabla1[[#This Row],[Quantity_Sold]]</f>
        <v>18686.72</v>
      </c>
    </row>
    <row r="490" spans="1:17" x14ac:dyDescent="0.3">
      <c r="A490" s="2">
        <v>1096</v>
      </c>
      <c r="B490" s="1">
        <v>44951</v>
      </c>
      <c r="C490" s="8" t="s">
        <v>33</v>
      </c>
      <c r="D490" s="8" t="s">
        <v>21</v>
      </c>
      <c r="E490" s="6">
        <v>6206.16</v>
      </c>
      <c r="F490" s="2">
        <v>27</v>
      </c>
      <c r="G490" s="8" t="s">
        <v>29</v>
      </c>
      <c r="H490" s="6">
        <v>4809</v>
      </c>
      <c r="I490" s="6">
        <v>4967.4399999999996</v>
      </c>
      <c r="J490" s="8" t="s">
        <v>30</v>
      </c>
      <c r="K490" s="12">
        <v>0.12</v>
      </c>
      <c r="L490" s="8" t="s">
        <v>18</v>
      </c>
      <c r="M490" s="8" t="s">
        <v>19</v>
      </c>
      <c r="N490" s="10" t="s">
        <v>37</v>
      </c>
      <c r="O490" s="17">
        <f xml:space="preserve"> (Tabla1[[#This Row],[Unit_Price]] - Tabla1[[#This Row],[Unit_Cost]] ) * Tabla1[[#This Row],[Quantity_Sold]]</f>
        <v>4277.8799999999892</v>
      </c>
      <c r="P490" s="12">
        <f>Tabla1[[#This Row],[Profit]] / Tabla1[[#This Row],[Sales_Calculated]]</f>
        <v>3.189570482985192E-2</v>
      </c>
      <c r="Q490" s="20">
        <f xml:space="preserve"> Tabla1[[#This Row],[Unit_Price]] * Tabla1[[#This Row],[Quantity_Sold]]</f>
        <v>134120.87999999998</v>
      </c>
    </row>
    <row r="491" spans="1:17" x14ac:dyDescent="0.3">
      <c r="A491" s="2">
        <v>1048</v>
      </c>
      <c r="B491" s="1">
        <v>44965</v>
      </c>
      <c r="C491" s="8" t="s">
        <v>33</v>
      </c>
      <c r="D491" s="8" t="s">
        <v>21</v>
      </c>
      <c r="E491" s="6">
        <v>7454.53</v>
      </c>
      <c r="F491" s="2">
        <v>27</v>
      </c>
      <c r="G491" s="8" t="s">
        <v>29</v>
      </c>
      <c r="H491" s="6">
        <v>3197.76</v>
      </c>
      <c r="I491" s="6">
        <v>3572.61</v>
      </c>
      <c r="J491" s="8" t="s">
        <v>17</v>
      </c>
      <c r="K491" s="12">
        <v>0.08</v>
      </c>
      <c r="L491" s="8" t="s">
        <v>31</v>
      </c>
      <c r="M491" s="8" t="s">
        <v>19</v>
      </c>
      <c r="N491" s="10" t="s">
        <v>37</v>
      </c>
      <c r="O491" s="17">
        <f xml:space="preserve"> (Tabla1[[#This Row],[Unit_Price]] - Tabla1[[#This Row],[Unit_Cost]] ) * Tabla1[[#This Row],[Quantity_Sold]]</f>
        <v>10120.949999999997</v>
      </c>
      <c r="P491" s="12">
        <f>Tabla1[[#This Row],[Profit]] / Tabla1[[#This Row],[Sales_Calculated]]</f>
        <v>0.10492329137521304</v>
      </c>
      <c r="Q491" s="20">
        <f xml:space="preserve"> Tabla1[[#This Row],[Unit_Price]] * Tabla1[[#This Row],[Quantity_Sold]]</f>
        <v>96460.47</v>
      </c>
    </row>
    <row r="492" spans="1:17" x14ac:dyDescent="0.3">
      <c r="A492" s="2">
        <v>1089</v>
      </c>
      <c r="B492" s="1">
        <v>45217</v>
      </c>
      <c r="C492" s="8" t="s">
        <v>24</v>
      </c>
      <c r="D492" s="8" t="s">
        <v>15</v>
      </c>
      <c r="E492" s="6">
        <v>7405.38</v>
      </c>
      <c r="F492" s="2">
        <v>15</v>
      </c>
      <c r="G492" s="8" t="s">
        <v>26</v>
      </c>
      <c r="H492" s="6">
        <v>3841.05</v>
      </c>
      <c r="I492" s="6">
        <v>4323.62</v>
      </c>
      <c r="J492" s="8" t="s">
        <v>17</v>
      </c>
      <c r="K492" s="12">
        <v>0.28999999999999998</v>
      </c>
      <c r="L492" s="8" t="s">
        <v>31</v>
      </c>
      <c r="M492" s="8" t="s">
        <v>22</v>
      </c>
      <c r="N492" s="10" t="s">
        <v>45</v>
      </c>
      <c r="O492" s="17">
        <f xml:space="preserve"> (Tabla1[[#This Row],[Unit_Price]] - Tabla1[[#This Row],[Unit_Cost]] ) * Tabla1[[#This Row],[Quantity_Sold]]</f>
        <v>7238.5499999999956</v>
      </c>
      <c r="P492" s="12">
        <f>Tabla1[[#This Row],[Profit]] / Tabla1[[#This Row],[Sales_Calculated]]</f>
        <v>0.11161249138453419</v>
      </c>
      <c r="Q492" s="20">
        <f xml:space="preserve"> Tabla1[[#This Row],[Unit_Price]] * Tabla1[[#This Row],[Quantity_Sold]]</f>
        <v>64854.299999999996</v>
      </c>
    </row>
    <row r="493" spans="1:17" x14ac:dyDescent="0.3">
      <c r="A493" s="2">
        <v>1001</v>
      </c>
      <c r="B493" s="1">
        <v>45057</v>
      </c>
      <c r="C493" s="8" t="s">
        <v>38</v>
      </c>
      <c r="D493" s="8" t="s">
        <v>34</v>
      </c>
      <c r="E493" s="6">
        <v>5262.35</v>
      </c>
      <c r="F493" s="2">
        <v>8</v>
      </c>
      <c r="G493" s="8" t="s">
        <v>29</v>
      </c>
      <c r="H493" s="6">
        <v>442.11</v>
      </c>
      <c r="I493" s="6">
        <v>803.87</v>
      </c>
      <c r="J493" s="8" t="s">
        <v>30</v>
      </c>
      <c r="K493" s="12">
        <v>0.18</v>
      </c>
      <c r="L493" s="8" t="s">
        <v>18</v>
      </c>
      <c r="M493" s="8" t="s">
        <v>22</v>
      </c>
      <c r="N493" s="10" t="s">
        <v>48</v>
      </c>
      <c r="O493" s="17">
        <f xml:space="preserve"> (Tabla1[[#This Row],[Unit_Price]] - Tabla1[[#This Row],[Unit_Cost]] ) * Tabla1[[#This Row],[Quantity_Sold]]</f>
        <v>2894.08</v>
      </c>
      <c r="P493" s="12">
        <f>Tabla1[[#This Row],[Profit]] / Tabla1[[#This Row],[Sales_Calculated]]</f>
        <v>0.45002301367136477</v>
      </c>
      <c r="Q493" s="20">
        <f xml:space="preserve"> Tabla1[[#This Row],[Unit_Price]] * Tabla1[[#This Row],[Quantity_Sold]]</f>
        <v>6430.96</v>
      </c>
    </row>
    <row r="494" spans="1:17" x14ac:dyDescent="0.3">
      <c r="A494" s="2">
        <v>1016</v>
      </c>
      <c r="B494" s="1">
        <v>45155</v>
      </c>
      <c r="C494" s="8" t="s">
        <v>38</v>
      </c>
      <c r="D494" s="8" t="s">
        <v>21</v>
      </c>
      <c r="E494" s="6">
        <v>777.74</v>
      </c>
      <c r="F494" s="2">
        <v>7</v>
      </c>
      <c r="G494" s="8" t="s">
        <v>26</v>
      </c>
      <c r="H494" s="6">
        <v>282.94</v>
      </c>
      <c r="I494" s="6">
        <v>779.32999999999902</v>
      </c>
      <c r="J494" s="8" t="s">
        <v>17</v>
      </c>
      <c r="K494" s="12">
        <v>0.28000000000000003</v>
      </c>
      <c r="L494" s="8" t="s">
        <v>31</v>
      </c>
      <c r="M494" s="8" t="s">
        <v>19</v>
      </c>
      <c r="N494" s="10" t="s">
        <v>41</v>
      </c>
      <c r="O494" s="17">
        <f xml:space="preserve"> (Tabla1[[#This Row],[Unit_Price]] - Tabla1[[#This Row],[Unit_Cost]] ) * Tabla1[[#This Row],[Quantity_Sold]]</f>
        <v>3474.7299999999932</v>
      </c>
      <c r="P494" s="12">
        <f>Tabla1[[#This Row],[Profit]] / Tabla1[[#This Row],[Sales_Calculated]]</f>
        <v>0.63694455493821567</v>
      </c>
      <c r="Q494" s="20">
        <f xml:space="preserve"> Tabla1[[#This Row],[Unit_Price]] * Tabla1[[#This Row],[Quantity_Sold]]</f>
        <v>5455.3099999999931</v>
      </c>
    </row>
    <row r="495" spans="1:17" x14ac:dyDescent="0.3">
      <c r="A495" s="2">
        <v>1061</v>
      </c>
      <c r="B495" s="1">
        <v>45034</v>
      </c>
      <c r="C495" s="8" t="s">
        <v>38</v>
      </c>
      <c r="D495" s="8" t="s">
        <v>15</v>
      </c>
      <c r="E495" s="6">
        <v>3774.02</v>
      </c>
      <c r="F495" s="2">
        <v>47</v>
      </c>
      <c r="G495" s="8" t="s">
        <v>35</v>
      </c>
      <c r="H495" s="6">
        <v>146.27000000000001</v>
      </c>
      <c r="I495" s="6">
        <v>498.46</v>
      </c>
      <c r="J495" s="8" t="s">
        <v>30</v>
      </c>
      <c r="K495" s="12">
        <v>0.06</v>
      </c>
      <c r="L495" s="8" t="s">
        <v>18</v>
      </c>
      <c r="M495" s="8" t="s">
        <v>22</v>
      </c>
      <c r="N495" s="10" t="s">
        <v>40</v>
      </c>
      <c r="O495" s="17">
        <f xml:space="preserve"> (Tabla1[[#This Row],[Unit_Price]] - Tabla1[[#This Row],[Unit_Cost]] ) * Tabla1[[#This Row],[Quantity_Sold]]</f>
        <v>16552.929999999997</v>
      </c>
      <c r="P495" s="12">
        <f>Tabla1[[#This Row],[Profit]] / Tabla1[[#This Row],[Sales_Calculated]]</f>
        <v>0.70655619307466988</v>
      </c>
      <c r="Q495" s="20">
        <f xml:space="preserve"> Tabla1[[#This Row],[Unit_Price]] * Tabla1[[#This Row],[Quantity_Sold]]</f>
        <v>23427.62</v>
      </c>
    </row>
    <row r="496" spans="1:17" x14ac:dyDescent="0.3">
      <c r="A496" s="2">
        <v>1064</v>
      </c>
      <c r="B496" s="1">
        <v>45098</v>
      </c>
      <c r="C496" s="8" t="s">
        <v>14</v>
      </c>
      <c r="D496" s="8" t="s">
        <v>21</v>
      </c>
      <c r="E496" s="6">
        <v>9215.59</v>
      </c>
      <c r="F496" s="2">
        <v>46</v>
      </c>
      <c r="G496" s="8" t="s">
        <v>35</v>
      </c>
      <c r="H496" s="6">
        <v>984.53</v>
      </c>
      <c r="I496" s="6">
        <v>1138.49</v>
      </c>
      <c r="J496" s="8" t="s">
        <v>30</v>
      </c>
      <c r="K496" s="12">
        <v>0.04</v>
      </c>
      <c r="L496" s="8" t="s">
        <v>27</v>
      </c>
      <c r="M496" s="8" t="s">
        <v>19</v>
      </c>
      <c r="N496" s="10" t="s">
        <v>23</v>
      </c>
      <c r="O496" s="17">
        <f xml:space="preserve"> (Tabla1[[#This Row],[Unit_Price]] - Tabla1[[#This Row],[Unit_Cost]] ) * Tabla1[[#This Row],[Quantity_Sold]]</f>
        <v>7082.1600000000017</v>
      </c>
      <c r="P496" s="12">
        <f>Tabla1[[#This Row],[Profit]] / Tabla1[[#This Row],[Sales_Calculated]]</f>
        <v>0.13523175434127663</v>
      </c>
      <c r="Q496" s="20">
        <f xml:space="preserve"> Tabla1[[#This Row],[Unit_Price]] * Tabla1[[#This Row],[Quantity_Sold]]</f>
        <v>52370.54</v>
      </c>
    </row>
    <row r="497" spans="1:17" x14ac:dyDescent="0.3">
      <c r="A497" s="2">
        <v>1063</v>
      </c>
      <c r="B497" s="1">
        <v>45028</v>
      </c>
      <c r="C497" s="8" t="s">
        <v>33</v>
      </c>
      <c r="D497" s="8" t="s">
        <v>15</v>
      </c>
      <c r="E497" s="6">
        <v>5886.04</v>
      </c>
      <c r="F497" s="2">
        <v>40</v>
      </c>
      <c r="G497" s="8" t="s">
        <v>35</v>
      </c>
      <c r="H497" s="6">
        <v>2101.3200000000002</v>
      </c>
      <c r="I497" s="6">
        <v>2440.63</v>
      </c>
      <c r="J497" s="8" t="s">
        <v>30</v>
      </c>
      <c r="K497" s="12">
        <v>0.26</v>
      </c>
      <c r="L497" s="8" t="s">
        <v>27</v>
      </c>
      <c r="M497" s="8" t="s">
        <v>22</v>
      </c>
      <c r="N497" s="10" t="s">
        <v>53</v>
      </c>
      <c r="O497" s="17">
        <f xml:space="preserve"> (Tabla1[[#This Row],[Unit_Price]] - Tabla1[[#This Row],[Unit_Cost]] ) * Tabla1[[#This Row],[Quantity_Sold]]</f>
        <v>13572.399999999998</v>
      </c>
      <c r="P497" s="12">
        <f>Tabla1[[#This Row],[Profit]] / Tabla1[[#This Row],[Sales_Calculated]]</f>
        <v>0.13902557946104077</v>
      </c>
      <c r="Q497" s="20">
        <f xml:space="preserve"> Tabla1[[#This Row],[Unit_Price]] * Tabla1[[#This Row],[Quantity_Sold]]</f>
        <v>97625.200000000012</v>
      </c>
    </row>
    <row r="498" spans="1:17" x14ac:dyDescent="0.3">
      <c r="A498" s="2">
        <v>1069</v>
      </c>
      <c r="B498" s="1">
        <v>45280</v>
      </c>
      <c r="C498" s="8" t="s">
        <v>38</v>
      </c>
      <c r="D498" s="8" t="s">
        <v>15</v>
      </c>
      <c r="E498" s="6">
        <v>5429.49</v>
      </c>
      <c r="F498" s="2">
        <v>12</v>
      </c>
      <c r="G498" s="8" t="s">
        <v>16</v>
      </c>
      <c r="H498" s="6">
        <v>4682.34</v>
      </c>
      <c r="I498" s="6">
        <v>5036.3999999999996</v>
      </c>
      <c r="J498" s="8" t="s">
        <v>30</v>
      </c>
      <c r="K498" s="12">
        <v>0.2</v>
      </c>
      <c r="L498" s="8" t="s">
        <v>27</v>
      </c>
      <c r="M498" s="8" t="s">
        <v>22</v>
      </c>
      <c r="N498" s="10" t="s">
        <v>40</v>
      </c>
      <c r="O498" s="17">
        <f xml:space="preserve"> (Tabla1[[#This Row],[Unit_Price]] - Tabla1[[#This Row],[Unit_Cost]] ) * Tabla1[[#This Row],[Quantity_Sold]]</f>
        <v>4248.7199999999939</v>
      </c>
      <c r="P498" s="12">
        <f>Tabla1[[#This Row],[Profit]] / Tabla1[[#This Row],[Sales_Calculated]]</f>
        <v>7.0300214438884817E-2</v>
      </c>
      <c r="Q498" s="20">
        <f xml:space="preserve"> Tabla1[[#This Row],[Unit_Price]] * Tabla1[[#This Row],[Quantity_Sold]]</f>
        <v>60436.799999999996</v>
      </c>
    </row>
    <row r="499" spans="1:17" x14ac:dyDescent="0.3">
      <c r="A499" s="2">
        <v>1022</v>
      </c>
      <c r="B499" s="1">
        <v>44938</v>
      </c>
      <c r="C499" s="8" t="s">
        <v>38</v>
      </c>
      <c r="D499" s="8" t="s">
        <v>34</v>
      </c>
      <c r="E499" s="6">
        <v>2761.65</v>
      </c>
      <c r="F499" s="2">
        <v>13</v>
      </c>
      <c r="G499" s="8" t="s">
        <v>26</v>
      </c>
      <c r="H499" s="6">
        <v>2312.4499999999998</v>
      </c>
      <c r="I499" s="6">
        <v>2504.6</v>
      </c>
      <c r="J499" s="8" t="s">
        <v>17</v>
      </c>
      <c r="K499" s="12">
        <v>0.06</v>
      </c>
      <c r="L499" s="8" t="s">
        <v>27</v>
      </c>
      <c r="M499" s="8" t="s">
        <v>19</v>
      </c>
      <c r="N499" s="10" t="s">
        <v>48</v>
      </c>
      <c r="O499" s="17">
        <f xml:space="preserve"> (Tabla1[[#This Row],[Unit_Price]] - Tabla1[[#This Row],[Unit_Cost]] ) * Tabla1[[#This Row],[Quantity_Sold]]</f>
        <v>2497.9500000000012</v>
      </c>
      <c r="P499" s="12">
        <f>Tabla1[[#This Row],[Profit]] / Tabla1[[#This Row],[Sales_Calculated]]</f>
        <v>7.6718837339295728E-2</v>
      </c>
      <c r="Q499" s="20">
        <f xml:space="preserve"> Tabla1[[#This Row],[Unit_Price]] * Tabla1[[#This Row],[Quantity_Sold]]</f>
        <v>32559.8</v>
      </c>
    </row>
    <row r="500" spans="1:17" x14ac:dyDescent="0.3">
      <c r="A500" s="2">
        <v>1093</v>
      </c>
      <c r="B500" s="1">
        <v>45201</v>
      </c>
      <c r="C500" s="8" t="s">
        <v>14</v>
      </c>
      <c r="D500" s="8" t="s">
        <v>21</v>
      </c>
      <c r="E500" s="6">
        <v>3747.64</v>
      </c>
      <c r="F500" s="2">
        <v>43</v>
      </c>
      <c r="G500" s="8" t="s">
        <v>35</v>
      </c>
      <c r="H500" s="6">
        <v>1486.76</v>
      </c>
      <c r="I500" s="6">
        <v>1505.44</v>
      </c>
      <c r="J500" s="8" t="s">
        <v>30</v>
      </c>
      <c r="K500" s="12">
        <v>0.08</v>
      </c>
      <c r="L500" s="8" t="s">
        <v>18</v>
      </c>
      <c r="M500" s="8" t="s">
        <v>22</v>
      </c>
      <c r="N500" s="10" t="s">
        <v>23</v>
      </c>
      <c r="O500" s="17">
        <f xml:space="preserve"> (Tabla1[[#This Row],[Unit_Price]] - Tabla1[[#This Row],[Unit_Cost]] ) * Tabla1[[#This Row],[Quantity_Sold]]</f>
        <v>803.24000000000274</v>
      </c>
      <c r="P500" s="12">
        <f>Tabla1[[#This Row],[Profit]] / Tabla1[[#This Row],[Sales_Calculated]]</f>
        <v>1.240833244765654E-2</v>
      </c>
      <c r="Q500" s="20">
        <f xml:space="preserve"> Tabla1[[#This Row],[Unit_Price]] * Tabla1[[#This Row],[Quantity_Sold]]</f>
        <v>64733.920000000006</v>
      </c>
    </row>
    <row r="501" spans="1:17" x14ac:dyDescent="0.3">
      <c r="A501" s="2">
        <v>1067</v>
      </c>
      <c r="B501" s="1">
        <v>45027</v>
      </c>
      <c r="C501" s="8" t="s">
        <v>14</v>
      </c>
      <c r="D501" s="8" t="s">
        <v>34</v>
      </c>
      <c r="E501" s="6">
        <v>8963.93</v>
      </c>
      <c r="F501" s="2">
        <v>17</v>
      </c>
      <c r="G501" s="8" t="s">
        <v>26</v>
      </c>
      <c r="H501" s="6">
        <v>2831.58</v>
      </c>
      <c r="I501" s="6">
        <v>3186.15</v>
      </c>
      <c r="J501" s="8" t="s">
        <v>30</v>
      </c>
      <c r="K501" s="12">
        <v>0.24</v>
      </c>
      <c r="L501" s="8" t="s">
        <v>27</v>
      </c>
      <c r="M501" s="8" t="s">
        <v>22</v>
      </c>
      <c r="N501" s="10" t="s">
        <v>46</v>
      </c>
      <c r="O501" s="17">
        <f xml:space="preserve"> (Tabla1[[#This Row],[Unit_Price]] - Tabla1[[#This Row],[Unit_Cost]] ) * Tabla1[[#This Row],[Quantity_Sold]]</f>
        <v>6027.6900000000023</v>
      </c>
      <c r="P501" s="12">
        <f>Tabla1[[#This Row],[Profit]] / Tabla1[[#This Row],[Sales_Calculated]]</f>
        <v>0.11128477943599646</v>
      </c>
      <c r="Q501" s="20">
        <f xml:space="preserve"> Tabla1[[#This Row],[Unit_Price]] * Tabla1[[#This Row],[Quantity_Sold]]</f>
        <v>54164.55</v>
      </c>
    </row>
    <row r="502" spans="1:17" x14ac:dyDescent="0.3">
      <c r="A502" s="2">
        <v>1076</v>
      </c>
      <c r="B502" s="1">
        <v>44970</v>
      </c>
      <c r="C502" s="8" t="s">
        <v>38</v>
      </c>
      <c r="D502" s="8" t="s">
        <v>15</v>
      </c>
      <c r="E502" s="6">
        <v>6697.98</v>
      </c>
      <c r="F502" s="2">
        <v>17</v>
      </c>
      <c r="G502" s="8" t="s">
        <v>29</v>
      </c>
      <c r="H502" s="6">
        <v>604.08000000000004</v>
      </c>
      <c r="I502" s="6">
        <v>624.71</v>
      </c>
      <c r="J502" s="8" t="s">
        <v>30</v>
      </c>
      <c r="K502" s="12">
        <v>0.14000000000000001</v>
      </c>
      <c r="L502" s="8" t="s">
        <v>27</v>
      </c>
      <c r="M502" s="8" t="s">
        <v>22</v>
      </c>
      <c r="N502" s="10" t="s">
        <v>40</v>
      </c>
      <c r="O502" s="17">
        <f xml:space="preserve"> (Tabla1[[#This Row],[Unit_Price]] - Tabla1[[#This Row],[Unit_Cost]] ) * Tabla1[[#This Row],[Quantity_Sold]]</f>
        <v>350.70999999999992</v>
      </c>
      <c r="P502" s="12">
        <f>Tabla1[[#This Row],[Profit]] / Tabla1[[#This Row],[Sales_Calculated]]</f>
        <v>3.3023322821789304E-2</v>
      </c>
      <c r="Q502" s="20">
        <f xml:space="preserve"> Tabla1[[#This Row],[Unit_Price]] * Tabla1[[#This Row],[Quantity_Sold]]</f>
        <v>10620.07</v>
      </c>
    </row>
    <row r="503" spans="1:17" x14ac:dyDescent="0.3">
      <c r="A503" s="2">
        <v>1026</v>
      </c>
      <c r="B503" s="1">
        <v>45231</v>
      </c>
      <c r="C503" s="8" t="s">
        <v>42</v>
      </c>
      <c r="D503" s="8" t="s">
        <v>25</v>
      </c>
      <c r="E503" s="6">
        <v>7895.13</v>
      </c>
      <c r="F503" s="2">
        <v>36</v>
      </c>
      <c r="G503" s="8" t="s">
        <v>29</v>
      </c>
      <c r="H503" s="6">
        <v>3067.05</v>
      </c>
      <c r="I503" s="6">
        <v>3386.33</v>
      </c>
      <c r="J503" s="8" t="s">
        <v>30</v>
      </c>
      <c r="K503" s="12">
        <v>0.2</v>
      </c>
      <c r="L503" s="8" t="s">
        <v>27</v>
      </c>
      <c r="M503" s="8" t="s">
        <v>19</v>
      </c>
      <c r="N503" s="10" t="s">
        <v>43</v>
      </c>
      <c r="O503" s="17">
        <f xml:space="preserve"> (Tabla1[[#This Row],[Unit_Price]] - Tabla1[[#This Row],[Unit_Cost]] ) * Tabla1[[#This Row],[Quantity_Sold]]</f>
        <v>11494.079999999991</v>
      </c>
      <c r="P503" s="12">
        <f>Tabla1[[#This Row],[Profit]] / Tabla1[[#This Row],[Sales_Calculated]]</f>
        <v>9.4284963367421287E-2</v>
      </c>
      <c r="Q503" s="20">
        <f xml:space="preserve"> Tabla1[[#This Row],[Unit_Price]] * Tabla1[[#This Row],[Quantity_Sold]]</f>
        <v>121907.88</v>
      </c>
    </row>
    <row r="504" spans="1:17" x14ac:dyDescent="0.3">
      <c r="A504" s="2">
        <v>1016</v>
      </c>
      <c r="B504" s="1">
        <v>44943</v>
      </c>
      <c r="C504" s="8" t="s">
        <v>38</v>
      </c>
      <c r="D504" s="8" t="s">
        <v>21</v>
      </c>
      <c r="E504" s="6">
        <v>4598.0200000000004</v>
      </c>
      <c r="F504" s="2">
        <v>21</v>
      </c>
      <c r="G504" s="8" t="s">
        <v>35</v>
      </c>
      <c r="H504" s="6">
        <v>2863.74</v>
      </c>
      <c r="I504" s="6">
        <v>2953.91</v>
      </c>
      <c r="J504" s="8" t="s">
        <v>30</v>
      </c>
      <c r="K504" s="12">
        <v>0.1</v>
      </c>
      <c r="L504" s="8" t="s">
        <v>27</v>
      </c>
      <c r="M504" s="8" t="s">
        <v>22</v>
      </c>
      <c r="N504" s="10" t="s">
        <v>41</v>
      </c>
      <c r="O504" s="17">
        <f xml:space="preserve"> (Tabla1[[#This Row],[Unit_Price]] - Tabla1[[#This Row],[Unit_Cost]] ) * Tabla1[[#This Row],[Quantity_Sold]]</f>
        <v>1893.5700000000015</v>
      </c>
      <c r="P504" s="12">
        <f>Tabla1[[#This Row],[Profit]] / Tabla1[[#This Row],[Sales_Calculated]]</f>
        <v>3.0525642284294399E-2</v>
      </c>
      <c r="Q504" s="20">
        <f xml:space="preserve"> Tabla1[[#This Row],[Unit_Price]] * Tabla1[[#This Row],[Quantity_Sold]]</f>
        <v>62032.11</v>
      </c>
    </row>
    <row r="505" spans="1:17" x14ac:dyDescent="0.3">
      <c r="A505" s="2">
        <v>1051</v>
      </c>
      <c r="B505" s="1">
        <v>45256</v>
      </c>
      <c r="C505" s="8" t="s">
        <v>38</v>
      </c>
      <c r="D505" s="8" t="s">
        <v>25</v>
      </c>
      <c r="E505" s="6">
        <v>6339.45</v>
      </c>
      <c r="F505" s="2">
        <v>8</v>
      </c>
      <c r="G505" s="8" t="s">
        <v>26</v>
      </c>
      <c r="H505" s="6">
        <v>3970.37</v>
      </c>
      <c r="I505" s="6">
        <v>4257.5199999999904</v>
      </c>
      <c r="J505" s="8" t="s">
        <v>30</v>
      </c>
      <c r="K505" s="12">
        <v>0.11</v>
      </c>
      <c r="L505" s="8" t="s">
        <v>18</v>
      </c>
      <c r="M505" s="8" t="s">
        <v>22</v>
      </c>
      <c r="N505" s="10" t="s">
        <v>39</v>
      </c>
      <c r="O505" s="17">
        <f xml:space="preserve"> (Tabla1[[#This Row],[Unit_Price]] - Tabla1[[#This Row],[Unit_Cost]] ) * Tabla1[[#This Row],[Quantity_Sold]]</f>
        <v>2297.1999999999243</v>
      </c>
      <c r="P505" s="12">
        <f>Tabla1[[#This Row],[Profit]] / Tabla1[[#This Row],[Sales_Calculated]]</f>
        <v>6.7445367256053101E-2</v>
      </c>
      <c r="Q505" s="20">
        <f xml:space="preserve"> Tabla1[[#This Row],[Unit_Price]] * Tabla1[[#This Row],[Quantity_Sold]]</f>
        <v>34060.159999999923</v>
      </c>
    </row>
    <row r="506" spans="1:17" x14ac:dyDescent="0.3">
      <c r="A506" s="2">
        <v>1086</v>
      </c>
      <c r="B506" s="1">
        <v>44983</v>
      </c>
      <c r="C506" s="8" t="s">
        <v>14</v>
      </c>
      <c r="D506" s="8" t="s">
        <v>21</v>
      </c>
      <c r="E506" s="6">
        <v>2559</v>
      </c>
      <c r="F506" s="2">
        <v>5</v>
      </c>
      <c r="G506" s="8" t="s">
        <v>35</v>
      </c>
      <c r="H506" s="6">
        <v>4934.1000000000004</v>
      </c>
      <c r="I506" s="6">
        <v>5191.0200000000004</v>
      </c>
      <c r="J506" s="8" t="s">
        <v>30</v>
      </c>
      <c r="K506" s="12">
        <v>0.3</v>
      </c>
      <c r="L506" s="8" t="s">
        <v>27</v>
      </c>
      <c r="M506" s="8" t="s">
        <v>19</v>
      </c>
      <c r="N506" s="10" t="s">
        <v>23</v>
      </c>
      <c r="O506" s="17">
        <f xml:space="preserve"> (Tabla1[[#This Row],[Unit_Price]] - Tabla1[[#This Row],[Unit_Cost]] ) * Tabla1[[#This Row],[Quantity_Sold]]</f>
        <v>1284.6000000000004</v>
      </c>
      <c r="P506" s="12">
        <f>Tabla1[[#This Row],[Profit]] / Tabla1[[#This Row],[Sales_Calculated]]</f>
        <v>4.9493163193360855E-2</v>
      </c>
      <c r="Q506" s="20">
        <f xml:space="preserve"> Tabla1[[#This Row],[Unit_Price]] * Tabla1[[#This Row],[Quantity_Sold]]</f>
        <v>25955.100000000002</v>
      </c>
    </row>
    <row r="507" spans="1:17" x14ac:dyDescent="0.3">
      <c r="A507" s="2">
        <v>1057</v>
      </c>
      <c r="B507" s="1">
        <v>45237</v>
      </c>
      <c r="C507" s="8" t="s">
        <v>14</v>
      </c>
      <c r="D507" s="8" t="s">
        <v>34</v>
      </c>
      <c r="E507" s="6">
        <v>7084.06</v>
      </c>
      <c r="F507" s="2">
        <v>26</v>
      </c>
      <c r="G507" s="8" t="s">
        <v>29</v>
      </c>
      <c r="H507" s="6">
        <v>1291.82</v>
      </c>
      <c r="I507" s="6">
        <v>1308.4399999999901</v>
      </c>
      <c r="J507" s="8" t="s">
        <v>17</v>
      </c>
      <c r="K507" s="12">
        <v>7.0000000000000007E-2</v>
      </c>
      <c r="L507" s="8" t="s">
        <v>31</v>
      </c>
      <c r="M507" s="8" t="s">
        <v>19</v>
      </c>
      <c r="N507" s="10" t="s">
        <v>46</v>
      </c>
      <c r="O507" s="17">
        <f xml:space="preserve"> (Tabla1[[#This Row],[Unit_Price]] - Tabla1[[#This Row],[Unit_Cost]] ) * Tabla1[[#This Row],[Quantity_Sold]]</f>
        <v>432.11999999974296</v>
      </c>
      <c r="P507" s="12">
        <f>Tabla1[[#This Row],[Profit]] / Tabla1[[#This Row],[Sales_Calculated]]</f>
        <v>1.2702149124140381E-2</v>
      </c>
      <c r="Q507" s="20">
        <f xml:space="preserve"> Tabla1[[#This Row],[Unit_Price]] * Tabla1[[#This Row],[Quantity_Sold]]</f>
        <v>34019.43999999974</v>
      </c>
    </row>
    <row r="508" spans="1:17" x14ac:dyDescent="0.3">
      <c r="A508" s="2">
        <v>1029</v>
      </c>
      <c r="B508" s="1">
        <v>45229</v>
      </c>
      <c r="C508" s="8" t="s">
        <v>38</v>
      </c>
      <c r="D508" s="8" t="s">
        <v>34</v>
      </c>
      <c r="E508" s="6">
        <v>4333.25</v>
      </c>
      <c r="F508" s="2">
        <v>16</v>
      </c>
      <c r="G508" s="8" t="s">
        <v>35</v>
      </c>
      <c r="H508" s="6">
        <v>2572.8000000000002</v>
      </c>
      <c r="I508" s="6">
        <v>2760.6</v>
      </c>
      <c r="J508" s="8" t="s">
        <v>17</v>
      </c>
      <c r="K508" s="12">
        <v>0.15</v>
      </c>
      <c r="L508" s="8" t="s">
        <v>31</v>
      </c>
      <c r="M508" s="8" t="s">
        <v>22</v>
      </c>
      <c r="N508" s="10" t="s">
        <v>48</v>
      </c>
      <c r="O508" s="17">
        <f xml:space="preserve"> (Tabla1[[#This Row],[Unit_Price]] - Tabla1[[#This Row],[Unit_Cost]] ) * Tabla1[[#This Row],[Quantity_Sold]]</f>
        <v>3004.7999999999956</v>
      </c>
      <c r="P508" s="12">
        <f>Tabla1[[#This Row],[Profit]] / Tabla1[[#This Row],[Sales_Calculated]]</f>
        <v>6.8028689415344387E-2</v>
      </c>
      <c r="Q508" s="20">
        <f xml:space="preserve"> Tabla1[[#This Row],[Unit_Price]] * Tabla1[[#This Row],[Quantity_Sold]]</f>
        <v>44169.599999999999</v>
      </c>
    </row>
    <row r="509" spans="1:17" x14ac:dyDescent="0.3">
      <c r="A509" s="2">
        <v>1078</v>
      </c>
      <c r="B509" s="1">
        <v>44938</v>
      </c>
      <c r="C509" s="8" t="s">
        <v>38</v>
      </c>
      <c r="D509" s="8" t="s">
        <v>34</v>
      </c>
      <c r="E509" s="6">
        <v>4481.2</v>
      </c>
      <c r="F509" s="2">
        <v>36</v>
      </c>
      <c r="G509" s="8" t="s">
        <v>26</v>
      </c>
      <c r="H509" s="6">
        <v>4548.88</v>
      </c>
      <c r="I509" s="6">
        <v>4853.41</v>
      </c>
      <c r="J509" s="8" t="s">
        <v>17</v>
      </c>
      <c r="K509" s="12">
        <v>0.25</v>
      </c>
      <c r="L509" s="8" t="s">
        <v>31</v>
      </c>
      <c r="M509" s="8" t="s">
        <v>22</v>
      </c>
      <c r="N509" s="10" t="s">
        <v>48</v>
      </c>
      <c r="O509" s="17">
        <f xml:space="preserve"> (Tabla1[[#This Row],[Unit_Price]] - Tabla1[[#This Row],[Unit_Cost]] ) * Tabla1[[#This Row],[Quantity_Sold]]</f>
        <v>10963.079999999991</v>
      </c>
      <c r="P509" s="12">
        <f>Tabla1[[#This Row],[Profit]] / Tabla1[[#This Row],[Sales_Calculated]]</f>
        <v>6.2745574760838196E-2</v>
      </c>
      <c r="Q509" s="20">
        <f xml:space="preserve"> Tabla1[[#This Row],[Unit_Price]] * Tabla1[[#This Row],[Quantity_Sold]]</f>
        <v>174722.76</v>
      </c>
    </row>
    <row r="510" spans="1:17" x14ac:dyDescent="0.3">
      <c r="A510" s="2">
        <v>1092</v>
      </c>
      <c r="B510" s="1">
        <v>45244</v>
      </c>
      <c r="C510" s="8" t="s">
        <v>38</v>
      </c>
      <c r="D510" s="8" t="s">
        <v>34</v>
      </c>
      <c r="E510" s="6">
        <v>6528.29</v>
      </c>
      <c r="F510" s="2">
        <v>28</v>
      </c>
      <c r="G510" s="8" t="s">
        <v>29</v>
      </c>
      <c r="H510" s="6">
        <v>3936.69</v>
      </c>
      <c r="I510" s="6">
        <v>4362.51</v>
      </c>
      <c r="J510" s="8" t="s">
        <v>17</v>
      </c>
      <c r="K510" s="12">
        <v>7.0000000000000007E-2</v>
      </c>
      <c r="L510" s="8" t="s">
        <v>31</v>
      </c>
      <c r="M510" s="8" t="s">
        <v>22</v>
      </c>
      <c r="N510" s="10" t="s">
        <v>48</v>
      </c>
      <c r="O510" s="17">
        <f xml:space="preserve"> (Tabla1[[#This Row],[Unit_Price]] - Tabla1[[#This Row],[Unit_Cost]] ) * Tabla1[[#This Row],[Quantity_Sold]]</f>
        <v>11922.960000000005</v>
      </c>
      <c r="P510" s="12">
        <f>Tabla1[[#This Row],[Profit]] / Tabla1[[#This Row],[Sales_Calculated]]</f>
        <v>9.7608945309007933E-2</v>
      </c>
      <c r="Q510" s="20">
        <f xml:space="preserve"> Tabla1[[#This Row],[Unit_Price]] * Tabla1[[#This Row],[Quantity_Sold]]</f>
        <v>122150.28</v>
      </c>
    </row>
    <row r="511" spans="1:17" x14ac:dyDescent="0.3">
      <c r="A511" s="2">
        <v>1069</v>
      </c>
      <c r="B511" s="1">
        <v>45006</v>
      </c>
      <c r="C511" s="8" t="s">
        <v>14</v>
      </c>
      <c r="D511" s="8" t="s">
        <v>34</v>
      </c>
      <c r="E511" s="6">
        <v>9369.18</v>
      </c>
      <c r="F511" s="2">
        <v>29</v>
      </c>
      <c r="G511" s="8" t="s">
        <v>16</v>
      </c>
      <c r="H511" s="6">
        <v>2462.66</v>
      </c>
      <c r="I511" s="6">
        <v>2908.0899999999901</v>
      </c>
      <c r="J511" s="8" t="s">
        <v>30</v>
      </c>
      <c r="K511" s="12">
        <v>0.12</v>
      </c>
      <c r="L511" s="8" t="s">
        <v>31</v>
      </c>
      <c r="M511" s="8" t="s">
        <v>19</v>
      </c>
      <c r="N511" s="10" t="s">
        <v>46</v>
      </c>
      <c r="O511" s="17">
        <f xml:space="preserve"> (Tabla1[[#This Row],[Unit_Price]] - Tabla1[[#This Row],[Unit_Cost]] ) * Tabla1[[#This Row],[Quantity_Sold]]</f>
        <v>12917.469999999717</v>
      </c>
      <c r="P511" s="12">
        <f>Tabla1[[#This Row],[Profit]] / Tabla1[[#This Row],[Sales_Calculated]]</f>
        <v>0.15316926229930702</v>
      </c>
      <c r="Q511" s="20">
        <f xml:space="preserve"> Tabla1[[#This Row],[Unit_Price]] * Tabla1[[#This Row],[Quantity_Sold]]</f>
        <v>84334.60999999971</v>
      </c>
    </row>
    <row r="512" spans="1:17" x14ac:dyDescent="0.3">
      <c r="A512" s="2">
        <v>1047</v>
      </c>
      <c r="B512" s="1">
        <v>45142</v>
      </c>
      <c r="C512" s="8" t="s">
        <v>38</v>
      </c>
      <c r="D512" s="8" t="s">
        <v>25</v>
      </c>
      <c r="E512" s="6">
        <v>733.66</v>
      </c>
      <c r="F512" s="2">
        <v>47</v>
      </c>
      <c r="G512" s="8" t="s">
        <v>29</v>
      </c>
      <c r="H512" s="6">
        <v>4729.59</v>
      </c>
      <c r="I512" s="6">
        <v>4976.68</v>
      </c>
      <c r="J512" s="8" t="s">
        <v>17</v>
      </c>
      <c r="K512" s="12">
        <v>0.18</v>
      </c>
      <c r="L512" s="8" t="s">
        <v>31</v>
      </c>
      <c r="M512" s="8" t="s">
        <v>22</v>
      </c>
      <c r="N512" s="10" t="s">
        <v>39</v>
      </c>
      <c r="O512" s="17">
        <f xml:space="preserve"> (Tabla1[[#This Row],[Unit_Price]] - Tabla1[[#This Row],[Unit_Cost]] ) * Tabla1[[#This Row],[Quantity_Sold]]</f>
        <v>11613.230000000007</v>
      </c>
      <c r="P512" s="12">
        <f>Tabla1[[#This Row],[Profit]] / Tabla1[[#This Row],[Sales_Calculated]]</f>
        <v>4.9649565573836395E-2</v>
      </c>
      <c r="Q512" s="20">
        <f xml:space="preserve"> Tabla1[[#This Row],[Unit_Price]] * Tabla1[[#This Row],[Quantity_Sold]]</f>
        <v>233903.96000000002</v>
      </c>
    </row>
    <row r="513" spans="1:17" x14ac:dyDescent="0.3">
      <c r="A513" s="2">
        <v>1094</v>
      </c>
      <c r="B513" s="1">
        <v>45265</v>
      </c>
      <c r="C513" s="8" t="s">
        <v>38</v>
      </c>
      <c r="D513" s="8" t="s">
        <v>34</v>
      </c>
      <c r="E513" s="6">
        <v>8264.9599999999991</v>
      </c>
      <c r="F513" s="2">
        <v>12</v>
      </c>
      <c r="G513" s="8" t="s">
        <v>16</v>
      </c>
      <c r="H513" s="6">
        <v>333.32</v>
      </c>
      <c r="I513" s="6">
        <v>700.25</v>
      </c>
      <c r="J513" s="8" t="s">
        <v>17</v>
      </c>
      <c r="K513" s="12">
        <v>0.14000000000000001</v>
      </c>
      <c r="L513" s="8" t="s">
        <v>18</v>
      </c>
      <c r="M513" s="8" t="s">
        <v>19</v>
      </c>
      <c r="N513" s="10" t="s">
        <v>48</v>
      </c>
      <c r="O513" s="17">
        <f xml:space="preserve"> (Tabla1[[#This Row],[Unit_Price]] - Tabla1[[#This Row],[Unit_Cost]] ) * Tabla1[[#This Row],[Quantity_Sold]]</f>
        <v>4403.16</v>
      </c>
      <c r="P513" s="12">
        <f>Tabla1[[#This Row],[Profit]] / Tabla1[[#This Row],[Sales_Calculated]]</f>
        <v>0.52399857193859334</v>
      </c>
      <c r="Q513" s="20">
        <f xml:space="preserve"> Tabla1[[#This Row],[Unit_Price]] * Tabla1[[#This Row],[Quantity_Sold]]</f>
        <v>8403</v>
      </c>
    </row>
    <row r="514" spans="1:17" x14ac:dyDescent="0.3">
      <c r="A514" s="2">
        <v>1062</v>
      </c>
      <c r="B514" s="1">
        <v>45190</v>
      </c>
      <c r="C514" s="8" t="s">
        <v>24</v>
      </c>
      <c r="D514" s="8" t="s">
        <v>15</v>
      </c>
      <c r="E514" s="6">
        <v>2994.59</v>
      </c>
      <c r="F514" s="2">
        <v>37</v>
      </c>
      <c r="G514" s="8" t="s">
        <v>35</v>
      </c>
      <c r="H514" s="6">
        <v>4658.4399999999996</v>
      </c>
      <c r="I514" s="6">
        <v>4823.5</v>
      </c>
      <c r="J514" s="8" t="s">
        <v>17</v>
      </c>
      <c r="K514" s="12">
        <v>0.14000000000000001</v>
      </c>
      <c r="L514" s="8" t="s">
        <v>31</v>
      </c>
      <c r="M514" s="8" t="s">
        <v>19</v>
      </c>
      <c r="N514" s="10" t="s">
        <v>45</v>
      </c>
      <c r="O514" s="17">
        <f xml:space="preserve"> (Tabla1[[#This Row],[Unit_Price]] - Tabla1[[#This Row],[Unit_Cost]] ) * Tabla1[[#This Row],[Quantity_Sold]]</f>
        <v>6107.2200000000148</v>
      </c>
      <c r="P514" s="12">
        <f>Tabla1[[#This Row],[Profit]] / Tabla1[[#This Row],[Sales_Calculated]]</f>
        <v>3.4219964755882744E-2</v>
      </c>
      <c r="Q514" s="20">
        <f xml:space="preserve"> Tabla1[[#This Row],[Unit_Price]] * Tabla1[[#This Row],[Quantity_Sold]]</f>
        <v>178469.5</v>
      </c>
    </row>
    <row r="515" spans="1:17" x14ac:dyDescent="0.3">
      <c r="A515" s="2">
        <v>1069</v>
      </c>
      <c r="B515" s="1">
        <v>45075</v>
      </c>
      <c r="C515" s="8" t="s">
        <v>42</v>
      </c>
      <c r="D515" s="8" t="s">
        <v>15</v>
      </c>
      <c r="E515" s="6">
        <v>4494.8</v>
      </c>
      <c r="F515" s="2">
        <v>30</v>
      </c>
      <c r="G515" s="8" t="s">
        <v>35</v>
      </c>
      <c r="H515" s="6">
        <v>300.01</v>
      </c>
      <c r="I515" s="6">
        <v>477.67999999999898</v>
      </c>
      <c r="J515" s="8" t="s">
        <v>30</v>
      </c>
      <c r="K515" s="12">
        <v>0.11</v>
      </c>
      <c r="L515" s="8" t="s">
        <v>27</v>
      </c>
      <c r="M515" s="8" t="s">
        <v>22</v>
      </c>
      <c r="N515" s="10" t="s">
        <v>49</v>
      </c>
      <c r="O515" s="17">
        <f xml:space="preserve"> (Tabla1[[#This Row],[Unit_Price]] - Tabla1[[#This Row],[Unit_Cost]] ) * Tabla1[[#This Row],[Quantity_Sold]]</f>
        <v>5330.0999999999694</v>
      </c>
      <c r="P515" s="12">
        <f>Tabla1[[#This Row],[Profit]] / Tabla1[[#This Row],[Sales_Calculated]]</f>
        <v>0.37194356054262134</v>
      </c>
      <c r="Q515" s="20">
        <f xml:space="preserve"> Tabla1[[#This Row],[Unit_Price]] * Tabla1[[#This Row],[Quantity_Sold]]</f>
        <v>14330.399999999969</v>
      </c>
    </row>
    <row r="516" spans="1:17" x14ac:dyDescent="0.3">
      <c r="A516" s="2">
        <v>1076</v>
      </c>
      <c r="B516" s="1">
        <v>45007</v>
      </c>
      <c r="C516" s="8" t="s">
        <v>33</v>
      </c>
      <c r="D516" s="8" t="s">
        <v>25</v>
      </c>
      <c r="E516" s="6">
        <v>316.94</v>
      </c>
      <c r="F516" s="2">
        <v>23</v>
      </c>
      <c r="G516" s="8" t="s">
        <v>26</v>
      </c>
      <c r="H516" s="6">
        <v>2759.16</v>
      </c>
      <c r="I516" s="6">
        <v>2864.45</v>
      </c>
      <c r="J516" s="8" t="s">
        <v>17</v>
      </c>
      <c r="K516" s="12">
        <v>0.18</v>
      </c>
      <c r="L516" s="8" t="s">
        <v>31</v>
      </c>
      <c r="M516" s="8" t="s">
        <v>22</v>
      </c>
      <c r="N516" s="10" t="s">
        <v>44</v>
      </c>
      <c r="O516" s="17">
        <f xml:space="preserve"> (Tabla1[[#This Row],[Unit_Price]] - Tabla1[[#This Row],[Unit_Cost]] ) * Tabla1[[#This Row],[Quantity_Sold]]</f>
        <v>2421.6699999999992</v>
      </c>
      <c r="P516" s="12">
        <f>Tabla1[[#This Row],[Profit]] / Tabla1[[#This Row],[Sales_Calculated]]</f>
        <v>3.6757492712388061E-2</v>
      </c>
      <c r="Q516" s="20">
        <f xml:space="preserve"> Tabla1[[#This Row],[Unit_Price]] * Tabla1[[#This Row],[Quantity_Sold]]</f>
        <v>65882.349999999991</v>
      </c>
    </row>
    <row r="517" spans="1:17" x14ac:dyDescent="0.3">
      <c r="A517" s="2">
        <v>1016</v>
      </c>
      <c r="B517" s="1">
        <v>45141</v>
      </c>
      <c r="C517" s="8" t="s">
        <v>42</v>
      </c>
      <c r="D517" s="8" t="s">
        <v>21</v>
      </c>
      <c r="E517" s="6">
        <v>3080.36</v>
      </c>
      <c r="F517" s="2">
        <v>16</v>
      </c>
      <c r="G517" s="8" t="s">
        <v>16</v>
      </c>
      <c r="H517" s="6">
        <v>4457.68</v>
      </c>
      <c r="I517" s="6">
        <v>4743.03</v>
      </c>
      <c r="J517" s="8" t="s">
        <v>17</v>
      </c>
      <c r="K517" s="12">
        <v>0.19</v>
      </c>
      <c r="L517" s="8" t="s">
        <v>18</v>
      </c>
      <c r="M517" s="8" t="s">
        <v>19</v>
      </c>
      <c r="N517" s="10" t="s">
        <v>51</v>
      </c>
      <c r="O517" s="17">
        <f xml:space="preserve"> (Tabla1[[#This Row],[Unit_Price]] - Tabla1[[#This Row],[Unit_Cost]] ) * Tabla1[[#This Row],[Quantity_Sold]]</f>
        <v>4565.5999999999913</v>
      </c>
      <c r="P517" s="12">
        <f>Tabla1[[#This Row],[Profit]] / Tabla1[[#This Row],[Sales_Calculated]]</f>
        <v>6.0161963976613997E-2</v>
      </c>
      <c r="Q517" s="20">
        <f xml:space="preserve"> Tabla1[[#This Row],[Unit_Price]] * Tabla1[[#This Row],[Quantity_Sold]]</f>
        <v>75888.479999999996</v>
      </c>
    </row>
    <row r="518" spans="1:17" x14ac:dyDescent="0.3">
      <c r="A518" s="2">
        <v>1090</v>
      </c>
      <c r="B518" s="1">
        <v>45124</v>
      </c>
      <c r="C518" s="8" t="s">
        <v>24</v>
      </c>
      <c r="D518" s="8" t="s">
        <v>15</v>
      </c>
      <c r="E518" s="6">
        <v>5076.05</v>
      </c>
      <c r="F518" s="2">
        <v>14</v>
      </c>
      <c r="G518" s="8" t="s">
        <v>35</v>
      </c>
      <c r="H518" s="6">
        <v>1350.47</v>
      </c>
      <c r="I518" s="6">
        <v>1514.61</v>
      </c>
      <c r="J518" s="8" t="s">
        <v>30</v>
      </c>
      <c r="K518" s="12">
        <v>0.2</v>
      </c>
      <c r="L518" s="8" t="s">
        <v>31</v>
      </c>
      <c r="M518" s="8" t="s">
        <v>22</v>
      </c>
      <c r="N518" s="10" t="s">
        <v>45</v>
      </c>
      <c r="O518" s="17">
        <f xml:space="preserve"> (Tabla1[[#This Row],[Unit_Price]] - Tabla1[[#This Row],[Unit_Cost]] ) * Tabla1[[#This Row],[Quantity_Sold]]</f>
        <v>2297.9599999999982</v>
      </c>
      <c r="P518" s="12">
        <f>Tabla1[[#This Row],[Profit]] / Tabla1[[#This Row],[Sales_Calculated]]</f>
        <v>0.10837113184252045</v>
      </c>
      <c r="Q518" s="20">
        <f xml:space="preserve"> Tabla1[[#This Row],[Unit_Price]] * Tabla1[[#This Row],[Quantity_Sold]]</f>
        <v>21204.539999999997</v>
      </c>
    </row>
    <row r="519" spans="1:17" x14ac:dyDescent="0.3">
      <c r="A519" s="2">
        <v>1090</v>
      </c>
      <c r="B519" s="1">
        <v>45126</v>
      </c>
      <c r="C519" s="8" t="s">
        <v>33</v>
      </c>
      <c r="D519" s="8" t="s">
        <v>21</v>
      </c>
      <c r="E519" s="6">
        <v>656.14</v>
      </c>
      <c r="F519" s="2">
        <v>10</v>
      </c>
      <c r="G519" s="8" t="s">
        <v>16</v>
      </c>
      <c r="H519" s="6">
        <v>2387.63</v>
      </c>
      <c r="I519" s="6">
        <v>2438.9699999999998</v>
      </c>
      <c r="J519" s="8" t="s">
        <v>17</v>
      </c>
      <c r="K519" s="12">
        <v>0.02</v>
      </c>
      <c r="L519" s="8" t="s">
        <v>27</v>
      </c>
      <c r="M519" s="8" t="s">
        <v>22</v>
      </c>
      <c r="N519" s="10" t="s">
        <v>37</v>
      </c>
      <c r="O519" s="17">
        <f xml:space="preserve"> (Tabla1[[#This Row],[Unit_Price]] - Tabla1[[#This Row],[Unit_Cost]] ) * Tabla1[[#This Row],[Quantity_Sold]]</f>
        <v>513.39999999999691</v>
      </c>
      <c r="P519" s="12">
        <f>Tabla1[[#This Row],[Profit]] / Tabla1[[#This Row],[Sales_Calculated]]</f>
        <v>2.1049869412087766E-2</v>
      </c>
      <c r="Q519" s="20">
        <f xml:space="preserve"> Tabla1[[#This Row],[Unit_Price]] * Tabla1[[#This Row],[Quantity_Sold]]</f>
        <v>24389.699999999997</v>
      </c>
    </row>
    <row r="520" spans="1:17" x14ac:dyDescent="0.3">
      <c r="A520" s="2">
        <v>1048</v>
      </c>
      <c r="B520" s="1">
        <v>44951</v>
      </c>
      <c r="C520" s="8" t="s">
        <v>38</v>
      </c>
      <c r="D520" s="8" t="s">
        <v>25</v>
      </c>
      <c r="E520" s="6">
        <v>4961.8500000000004</v>
      </c>
      <c r="F520" s="2">
        <v>7</v>
      </c>
      <c r="G520" s="8" t="s">
        <v>35</v>
      </c>
      <c r="H520" s="6">
        <v>1655.43</v>
      </c>
      <c r="I520" s="6">
        <v>2001.08</v>
      </c>
      <c r="J520" s="8" t="s">
        <v>30</v>
      </c>
      <c r="K520" s="12">
        <v>0.19</v>
      </c>
      <c r="L520" s="8" t="s">
        <v>27</v>
      </c>
      <c r="M520" s="8" t="s">
        <v>19</v>
      </c>
      <c r="N520" s="10" t="s">
        <v>39</v>
      </c>
      <c r="O520" s="17">
        <f xml:space="preserve"> (Tabla1[[#This Row],[Unit_Price]] - Tabla1[[#This Row],[Unit_Cost]] ) * Tabla1[[#This Row],[Quantity_Sold]]</f>
        <v>2419.5499999999993</v>
      </c>
      <c r="P520" s="12">
        <f>Tabla1[[#This Row],[Profit]] / Tabla1[[#This Row],[Sales_Calculated]]</f>
        <v>0.17273172486857091</v>
      </c>
      <c r="Q520" s="20">
        <f xml:space="preserve"> Tabla1[[#This Row],[Unit_Price]] * Tabla1[[#This Row],[Quantity_Sold]]</f>
        <v>14007.56</v>
      </c>
    </row>
    <row r="521" spans="1:17" x14ac:dyDescent="0.3">
      <c r="A521" s="2">
        <v>1085</v>
      </c>
      <c r="B521" s="1">
        <v>45015</v>
      </c>
      <c r="C521" s="8" t="s">
        <v>24</v>
      </c>
      <c r="D521" s="8" t="s">
        <v>21</v>
      </c>
      <c r="E521" s="6">
        <v>9278.4</v>
      </c>
      <c r="F521" s="2">
        <v>45</v>
      </c>
      <c r="G521" s="8" t="s">
        <v>29</v>
      </c>
      <c r="H521" s="6">
        <v>4763.1099999999997</v>
      </c>
      <c r="I521" s="6">
        <v>5119.91</v>
      </c>
      <c r="J521" s="8" t="s">
        <v>17</v>
      </c>
      <c r="K521" s="12">
        <v>0.28999999999999998</v>
      </c>
      <c r="L521" s="8" t="s">
        <v>18</v>
      </c>
      <c r="M521" s="8" t="s">
        <v>22</v>
      </c>
      <c r="N521" s="10" t="s">
        <v>47</v>
      </c>
      <c r="O521" s="17">
        <f xml:space="preserve"> (Tabla1[[#This Row],[Unit_Price]] - Tabla1[[#This Row],[Unit_Cost]] ) * Tabla1[[#This Row],[Quantity_Sold]]</f>
        <v>16056.000000000007</v>
      </c>
      <c r="P521" s="12">
        <f>Tabla1[[#This Row],[Profit]] / Tabla1[[#This Row],[Sales_Calculated]]</f>
        <v>6.9688724997119131E-2</v>
      </c>
      <c r="Q521" s="20">
        <f xml:space="preserve"> Tabla1[[#This Row],[Unit_Price]] * Tabla1[[#This Row],[Quantity_Sold]]</f>
        <v>230395.94999999998</v>
      </c>
    </row>
    <row r="522" spans="1:17" x14ac:dyDescent="0.3">
      <c r="A522" s="2">
        <v>1039</v>
      </c>
      <c r="B522" s="1">
        <v>45194</v>
      </c>
      <c r="C522" s="8" t="s">
        <v>38</v>
      </c>
      <c r="D522" s="8" t="s">
        <v>21</v>
      </c>
      <c r="E522" s="6">
        <v>1143.3900000000001</v>
      </c>
      <c r="F522" s="2">
        <v>37</v>
      </c>
      <c r="G522" s="8" t="s">
        <v>35</v>
      </c>
      <c r="H522" s="6">
        <v>4127.05</v>
      </c>
      <c r="I522" s="6">
        <v>4313.45</v>
      </c>
      <c r="J522" s="8" t="s">
        <v>30</v>
      </c>
      <c r="K522" s="12">
        <v>0.16</v>
      </c>
      <c r="L522" s="8" t="s">
        <v>18</v>
      </c>
      <c r="M522" s="8" t="s">
        <v>19</v>
      </c>
      <c r="N522" s="10" t="s">
        <v>41</v>
      </c>
      <c r="O522" s="17">
        <f xml:space="preserve"> (Tabla1[[#This Row],[Unit_Price]] - Tabla1[[#This Row],[Unit_Cost]] ) * Tabla1[[#This Row],[Quantity_Sold]]</f>
        <v>6896.7999999999865</v>
      </c>
      <c r="P522" s="12">
        <f>Tabla1[[#This Row],[Profit]] / Tabla1[[#This Row],[Sales_Calculated]]</f>
        <v>4.3213668872943846E-2</v>
      </c>
      <c r="Q522" s="20">
        <f xml:space="preserve"> Tabla1[[#This Row],[Unit_Price]] * Tabla1[[#This Row],[Quantity_Sold]]</f>
        <v>159597.65</v>
      </c>
    </row>
    <row r="523" spans="1:17" x14ac:dyDescent="0.3">
      <c r="A523" s="2">
        <v>1100</v>
      </c>
      <c r="B523" s="1">
        <v>45069</v>
      </c>
      <c r="C523" s="8" t="s">
        <v>14</v>
      </c>
      <c r="D523" s="8" t="s">
        <v>21</v>
      </c>
      <c r="E523" s="6">
        <v>7667.96</v>
      </c>
      <c r="F523" s="2">
        <v>29</v>
      </c>
      <c r="G523" s="8" t="s">
        <v>26</v>
      </c>
      <c r="H523" s="6">
        <v>3559.56</v>
      </c>
      <c r="I523" s="6">
        <v>3607.15</v>
      </c>
      <c r="J523" s="8" t="s">
        <v>17</v>
      </c>
      <c r="K523" s="12">
        <v>0.21</v>
      </c>
      <c r="L523" s="8" t="s">
        <v>18</v>
      </c>
      <c r="M523" s="8" t="s">
        <v>22</v>
      </c>
      <c r="N523" s="10" t="s">
        <v>23</v>
      </c>
      <c r="O523" s="17">
        <f xml:space="preserve"> (Tabla1[[#This Row],[Unit_Price]] - Tabla1[[#This Row],[Unit_Cost]] ) * Tabla1[[#This Row],[Quantity_Sold]]</f>
        <v>1380.1100000000042</v>
      </c>
      <c r="P523" s="12">
        <f>Tabla1[[#This Row],[Profit]] / Tabla1[[#This Row],[Sales_Calculated]]</f>
        <v>1.3193241201502611E-2</v>
      </c>
      <c r="Q523" s="20">
        <f xml:space="preserve"> Tabla1[[#This Row],[Unit_Price]] * Tabla1[[#This Row],[Quantity_Sold]]</f>
        <v>104607.35</v>
      </c>
    </row>
    <row r="524" spans="1:17" x14ac:dyDescent="0.3">
      <c r="A524" s="2">
        <v>1033</v>
      </c>
      <c r="B524" s="1">
        <v>44985</v>
      </c>
      <c r="C524" s="8" t="s">
        <v>24</v>
      </c>
      <c r="D524" s="8" t="s">
        <v>21</v>
      </c>
      <c r="E524" s="6">
        <v>4155.74</v>
      </c>
      <c r="F524" s="2">
        <v>3</v>
      </c>
      <c r="G524" s="8" t="s">
        <v>29</v>
      </c>
      <c r="H524" s="6">
        <v>2958.75</v>
      </c>
      <c r="I524" s="6">
        <v>3177.64</v>
      </c>
      <c r="J524" s="8" t="s">
        <v>17</v>
      </c>
      <c r="K524" s="12">
        <v>0.17</v>
      </c>
      <c r="L524" s="8" t="s">
        <v>18</v>
      </c>
      <c r="M524" s="8" t="s">
        <v>19</v>
      </c>
      <c r="N524" s="10" t="s">
        <v>47</v>
      </c>
      <c r="O524" s="17">
        <f xml:space="preserve"> (Tabla1[[#This Row],[Unit_Price]] - Tabla1[[#This Row],[Unit_Cost]] ) * Tabla1[[#This Row],[Quantity_Sold]]</f>
        <v>656.66999999999962</v>
      </c>
      <c r="P524" s="12">
        <f>Tabla1[[#This Row],[Profit]] / Tabla1[[#This Row],[Sales_Calculated]]</f>
        <v>6.8884455130222386E-2</v>
      </c>
      <c r="Q524" s="20">
        <f xml:space="preserve"> Tabla1[[#This Row],[Unit_Price]] * Tabla1[[#This Row],[Quantity_Sold]]</f>
        <v>9532.92</v>
      </c>
    </row>
    <row r="525" spans="1:17" x14ac:dyDescent="0.3">
      <c r="A525" s="2">
        <v>1094</v>
      </c>
      <c r="B525" s="1">
        <v>45291</v>
      </c>
      <c r="C525" s="8" t="s">
        <v>14</v>
      </c>
      <c r="D525" s="8" t="s">
        <v>25</v>
      </c>
      <c r="E525" s="6">
        <v>6586.22</v>
      </c>
      <c r="F525" s="2">
        <v>15</v>
      </c>
      <c r="G525" s="8" t="s">
        <v>26</v>
      </c>
      <c r="H525" s="6">
        <v>4111.93</v>
      </c>
      <c r="I525" s="6">
        <v>4338.67</v>
      </c>
      <c r="J525" s="8" t="s">
        <v>17</v>
      </c>
      <c r="K525" s="12">
        <v>0.26</v>
      </c>
      <c r="L525" s="8" t="s">
        <v>31</v>
      </c>
      <c r="M525" s="8" t="s">
        <v>19</v>
      </c>
      <c r="N525" s="10" t="s">
        <v>32</v>
      </c>
      <c r="O525" s="17">
        <f xml:space="preserve"> (Tabla1[[#This Row],[Unit_Price]] - Tabla1[[#This Row],[Unit_Cost]] ) * Tabla1[[#This Row],[Quantity_Sold]]</f>
        <v>3401.0999999999967</v>
      </c>
      <c r="P525" s="12">
        <f>Tabla1[[#This Row],[Profit]] / Tabla1[[#This Row],[Sales_Calculated]]</f>
        <v>5.2260254870732221E-2</v>
      </c>
      <c r="Q525" s="20">
        <f xml:space="preserve"> Tabla1[[#This Row],[Unit_Price]] * Tabla1[[#This Row],[Quantity_Sold]]</f>
        <v>65080.05</v>
      </c>
    </row>
    <row r="526" spans="1:17" x14ac:dyDescent="0.3">
      <c r="A526" s="2">
        <v>1023</v>
      </c>
      <c r="B526" s="1">
        <v>44952</v>
      </c>
      <c r="C526" s="8" t="s">
        <v>24</v>
      </c>
      <c r="D526" s="8" t="s">
        <v>15</v>
      </c>
      <c r="E526" s="6">
        <v>2676.34</v>
      </c>
      <c r="F526" s="2">
        <v>36</v>
      </c>
      <c r="G526" s="8" t="s">
        <v>29</v>
      </c>
      <c r="H526" s="6">
        <v>1991.72</v>
      </c>
      <c r="I526" s="6">
        <v>2329.37</v>
      </c>
      <c r="J526" s="8" t="s">
        <v>30</v>
      </c>
      <c r="K526" s="12">
        <v>0.28000000000000003</v>
      </c>
      <c r="L526" s="8" t="s">
        <v>31</v>
      </c>
      <c r="M526" s="8" t="s">
        <v>22</v>
      </c>
      <c r="N526" s="10" t="s">
        <v>45</v>
      </c>
      <c r="O526" s="17">
        <f xml:space="preserve"> (Tabla1[[#This Row],[Unit_Price]] - Tabla1[[#This Row],[Unit_Cost]] ) * Tabla1[[#This Row],[Quantity_Sold]]</f>
        <v>12155.399999999994</v>
      </c>
      <c r="P526" s="12">
        <f>Tabla1[[#This Row],[Profit]] / Tabla1[[#This Row],[Sales_Calculated]]</f>
        <v>0.14495335648694707</v>
      </c>
      <c r="Q526" s="20">
        <f xml:space="preserve"> Tabla1[[#This Row],[Unit_Price]] * Tabla1[[#This Row],[Quantity_Sold]]</f>
        <v>83857.319999999992</v>
      </c>
    </row>
    <row r="527" spans="1:17" x14ac:dyDescent="0.3">
      <c r="A527" s="2">
        <v>1010</v>
      </c>
      <c r="B527" s="1">
        <v>44973</v>
      </c>
      <c r="C527" s="8" t="s">
        <v>24</v>
      </c>
      <c r="D527" s="8" t="s">
        <v>34</v>
      </c>
      <c r="E527" s="6">
        <v>1678.97</v>
      </c>
      <c r="F527" s="2">
        <v>47</v>
      </c>
      <c r="G527" s="8" t="s">
        <v>16</v>
      </c>
      <c r="H527" s="6">
        <v>2265.38</v>
      </c>
      <c r="I527" s="6">
        <v>2429.9299999999998</v>
      </c>
      <c r="J527" s="8" t="s">
        <v>17</v>
      </c>
      <c r="K527" s="12">
        <v>0.06</v>
      </c>
      <c r="L527" s="8" t="s">
        <v>27</v>
      </c>
      <c r="M527" s="8" t="s">
        <v>19</v>
      </c>
      <c r="N527" s="10" t="s">
        <v>50</v>
      </c>
      <c r="O527" s="17">
        <f xml:space="preserve"> (Tabla1[[#This Row],[Unit_Price]] - Tabla1[[#This Row],[Unit_Cost]] ) * Tabla1[[#This Row],[Quantity_Sold]]</f>
        <v>7733.8499999999876</v>
      </c>
      <c r="P527" s="12">
        <f>Tabla1[[#This Row],[Profit]] / Tabla1[[#This Row],[Sales_Calculated]]</f>
        <v>6.7718000106998869E-2</v>
      </c>
      <c r="Q527" s="20">
        <f xml:space="preserve"> Tabla1[[#This Row],[Unit_Price]] * Tabla1[[#This Row],[Quantity_Sold]]</f>
        <v>114206.70999999999</v>
      </c>
    </row>
    <row r="528" spans="1:17" x14ac:dyDescent="0.3">
      <c r="A528" s="2">
        <v>1069</v>
      </c>
      <c r="B528" s="1">
        <v>45214</v>
      </c>
      <c r="C528" s="8" t="s">
        <v>14</v>
      </c>
      <c r="D528" s="8" t="s">
        <v>21</v>
      </c>
      <c r="E528" s="6">
        <v>1688.58</v>
      </c>
      <c r="F528" s="2">
        <v>46</v>
      </c>
      <c r="G528" s="8" t="s">
        <v>26</v>
      </c>
      <c r="H528" s="6">
        <v>3663.51</v>
      </c>
      <c r="I528" s="6">
        <v>4007.98</v>
      </c>
      <c r="J528" s="8" t="s">
        <v>30</v>
      </c>
      <c r="K528" s="12">
        <v>0.13</v>
      </c>
      <c r="L528" s="8" t="s">
        <v>18</v>
      </c>
      <c r="M528" s="8" t="s">
        <v>19</v>
      </c>
      <c r="N528" s="10" t="s">
        <v>23</v>
      </c>
      <c r="O528" s="17">
        <f xml:space="preserve"> (Tabla1[[#This Row],[Unit_Price]] - Tabla1[[#This Row],[Unit_Cost]] ) * Tabla1[[#This Row],[Quantity_Sold]]</f>
        <v>15845.619999999992</v>
      </c>
      <c r="P528" s="12">
        <f>Tabla1[[#This Row],[Profit]] / Tabla1[[#This Row],[Sales_Calculated]]</f>
        <v>8.5946037654878474E-2</v>
      </c>
      <c r="Q528" s="20">
        <f xml:space="preserve"> Tabla1[[#This Row],[Unit_Price]] * Tabla1[[#This Row],[Quantity_Sold]]</f>
        <v>184367.08</v>
      </c>
    </row>
    <row r="529" spans="1:17" x14ac:dyDescent="0.3">
      <c r="A529" s="2">
        <v>1100</v>
      </c>
      <c r="B529" s="1">
        <v>45192</v>
      </c>
      <c r="C529" s="8" t="s">
        <v>33</v>
      </c>
      <c r="D529" s="8" t="s">
        <v>15</v>
      </c>
      <c r="E529" s="6">
        <v>797.87</v>
      </c>
      <c r="F529" s="2">
        <v>19</v>
      </c>
      <c r="G529" s="8" t="s">
        <v>35</v>
      </c>
      <c r="H529" s="6">
        <v>1820.89</v>
      </c>
      <c r="I529" s="6">
        <v>2257.92</v>
      </c>
      <c r="J529" s="8" t="s">
        <v>30</v>
      </c>
      <c r="K529" s="12">
        <v>0.12</v>
      </c>
      <c r="L529" s="8" t="s">
        <v>18</v>
      </c>
      <c r="M529" s="8" t="s">
        <v>22</v>
      </c>
      <c r="N529" s="10" t="s">
        <v>53</v>
      </c>
      <c r="O529" s="17">
        <f xml:space="preserve"> (Tabla1[[#This Row],[Unit_Price]] - Tabla1[[#This Row],[Unit_Cost]] ) * Tabla1[[#This Row],[Quantity_Sold]]</f>
        <v>8303.57</v>
      </c>
      <c r="P529" s="12">
        <f>Tabla1[[#This Row],[Profit]] / Tabla1[[#This Row],[Sales_Calculated]]</f>
        <v>0.19355424461451246</v>
      </c>
      <c r="Q529" s="20">
        <f xml:space="preserve"> Tabla1[[#This Row],[Unit_Price]] * Tabla1[[#This Row],[Quantity_Sold]]</f>
        <v>42900.480000000003</v>
      </c>
    </row>
    <row r="530" spans="1:17" x14ac:dyDescent="0.3">
      <c r="A530" s="2">
        <v>1034</v>
      </c>
      <c r="B530" s="1">
        <v>44942</v>
      </c>
      <c r="C530" s="8" t="s">
        <v>42</v>
      </c>
      <c r="D530" s="8" t="s">
        <v>15</v>
      </c>
      <c r="E530" s="6">
        <v>1937.9</v>
      </c>
      <c r="F530" s="2">
        <v>13</v>
      </c>
      <c r="G530" s="8" t="s">
        <v>16</v>
      </c>
      <c r="H530" s="6">
        <v>366.31</v>
      </c>
      <c r="I530" s="6">
        <v>492.68</v>
      </c>
      <c r="J530" s="8" t="s">
        <v>30</v>
      </c>
      <c r="K530" s="12">
        <v>0.12</v>
      </c>
      <c r="L530" s="8" t="s">
        <v>31</v>
      </c>
      <c r="M530" s="8" t="s">
        <v>22</v>
      </c>
      <c r="N530" s="10" t="s">
        <v>49</v>
      </c>
      <c r="O530" s="17">
        <f xml:space="preserve"> (Tabla1[[#This Row],[Unit_Price]] - Tabla1[[#This Row],[Unit_Cost]] ) * Tabla1[[#This Row],[Quantity_Sold]]</f>
        <v>1642.81</v>
      </c>
      <c r="P530" s="12">
        <f>Tabla1[[#This Row],[Profit]] / Tabla1[[#This Row],[Sales_Calculated]]</f>
        <v>0.25649508808963223</v>
      </c>
      <c r="Q530" s="20">
        <f xml:space="preserve"> Tabla1[[#This Row],[Unit_Price]] * Tabla1[[#This Row],[Quantity_Sold]]</f>
        <v>6404.84</v>
      </c>
    </row>
    <row r="531" spans="1:17" x14ac:dyDescent="0.3">
      <c r="A531" s="2">
        <v>1052</v>
      </c>
      <c r="B531" s="1">
        <v>45125</v>
      </c>
      <c r="C531" s="8" t="s">
        <v>38</v>
      </c>
      <c r="D531" s="8" t="s">
        <v>25</v>
      </c>
      <c r="E531" s="6">
        <v>6675.77</v>
      </c>
      <c r="F531" s="2">
        <v>42</v>
      </c>
      <c r="G531" s="8" t="s">
        <v>35</v>
      </c>
      <c r="H531" s="6">
        <v>417.96</v>
      </c>
      <c r="I531" s="6">
        <v>907.63</v>
      </c>
      <c r="J531" s="8" t="s">
        <v>30</v>
      </c>
      <c r="K531" s="12">
        <v>0.04</v>
      </c>
      <c r="L531" s="8" t="s">
        <v>18</v>
      </c>
      <c r="M531" s="8" t="s">
        <v>22</v>
      </c>
      <c r="N531" s="10" t="s">
        <v>39</v>
      </c>
      <c r="O531" s="17">
        <f xml:space="preserve"> (Tabla1[[#This Row],[Unit_Price]] - Tabla1[[#This Row],[Unit_Cost]] ) * Tabla1[[#This Row],[Quantity_Sold]]</f>
        <v>20566.14</v>
      </c>
      <c r="P531" s="12">
        <f>Tabla1[[#This Row],[Profit]] / Tabla1[[#This Row],[Sales_Calculated]]</f>
        <v>0.53950398290052115</v>
      </c>
      <c r="Q531" s="20">
        <f xml:space="preserve"> Tabla1[[#This Row],[Unit_Price]] * Tabla1[[#This Row],[Quantity_Sold]]</f>
        <v>38120.46</v>
      </c>
    </row>
    <row r="532" spans="1:17" x14ac:dyDescent="0.3">
      <c r="A532" s="2">
        <v>1095</v>
      </c>
      <c r="B532" s="1">
        <v>45208</v>
      </c>
      <c r="C532" s="8" t="s">
        <v>24</v>
      </c>
      <c r="D532" s="8" t="s">
        <v>15</v>
      </c>
      <c r="E532" s="6">
        <v>8828.74</v>
      </c>
      <c r="F532" s="2">
        <v>21</v>
      </c>
      <c r="G532" s="8" t="s">
        <v>29</v>
      </c>
      <c r="H532" s="6">
        <v>621.04999999999995</v>
      </c>
      <c r="I532" s="6">
        <v>820.36999999999898</v>
      </c>
      <c r="J532" s="8" t="s">
        <v>17</v>
      </c>
      <c r="K532" s="12">
        <v>0.24</v>
      </c>
      <c r="L532" s="8" t="s">
        <v>27</v>
      </c>
      <c r="M532" s="8" t="s">
        <v>19</v>
      </c>
      <c r="N532" s="10" t="s">
        <v>45</v>
      </c>
      <c r="O532" s="17">
        <f xml:space="preserve"> (Tabla1[[#This Row],[Unit_Price]] - Tabla1[[#This Row],[Unit_Cost]] ) * Tabla1[[#This Row],[Quantity_Sold]]</f>
        <v>4185.7199999999793</v>
      </c>
      <c r="P532" s="12">
        <f>Tabla1[[#This Row],[Profit]] / Tabla1[[#This Row],[Sales_Calculated]]</f>
        <v>0.24296354084132679</v>
      </c>
      <c r="Q532" s="20">
        <f xml:space="preserve"> Tabla1[[#This Row],[Unit_Price]] * Tabla1[[#This Row],[Quantity_Sold]]</f>
        <v>17227.769999999979</v>
      </c>
    </row>
    <row r="533" spans="1:17" x14ac:dyDescent="0.3">
      <c r="A533" s="2">
        <v>1010</v>
      </c>
      <c r="B533" s="1">
        <v>45012</v>
      </c>
      <c r="C533" s="8" t="s">
        <v>38</v>
      </c>
      <c r="D533" s="8" t="s">
        <v>25</v>
      </c>
      <c r="E533" s="6">
        <v>8159.84</v>
      </c>
      <c r="F533" s="2">
        <v>37</v>
      </c>
      <c r="G533" s="8" t="s">
        <v>29</v>
      </c>
      <c r="H533" s="6">
        <v>4354.92</v>
      </c>
      <c r="I533" s="6">
        <v>4495.88</v>
      </c>
      <c r="J533" s="8" t="s">
        <v>17</v>
      </c>
      <c r="K533" s="12">
        <v>0.01</v>
      </c>
      <c r="L533" s="8" t="s">
        <v>27</v>
      </c>
      <c r="M533" s="8" t="s">
        <v>19</v>
      </c>
      <c r="N533" s="10" t="s">
        <v>39</v>
      </c>
      <c r="O533" s="17">
        <f xml:space="preserve"> (Tabla1[[#This Row],[Unit_Price]] - Tabla1[[#This Row],[Unit_Cost]] ) * Tabla1[[#This Row],[Quantity_Sold]]</f>
        <v>5215.5200000000013</v>
      </c>
      <c r="P533" s="12">
        <f>Tabla1[[#This Row],[Profit]] / Tabla1[[#This Row],[Sales_Calculated]]</f>
        <v>3.135314999510664E-2</v>
      </c>
      <c r="Q533" s="20">
        <f xml:space="preserve"> Tabla1[[#This Row],[Unit_Price]] * Tabla1[[#This Row],[Quantity_Sold]]</f>
        <v>166347.56</v>
      </c>
    </row>
    <row r="534" spans="1:17" x14ac:dyDescent="0.3">
      <c r="A534" s="2">
        <v>1019</v>
      </c>
      <c r="B534" s="1">
        <v>45176</v>
      </c>
      <c r="C534" s="8" t="s">
        <v>14</v>
      </c>
      <c r="D534" s="8" t="s">
        <v>21</v>
      </c>
      <c r="E534" s="6">
        <v>6882.83</v>
      </c>
      <c r="F534" s="2">
        <v>27</v>
      </c>
      <c r="G534" s="8" t="s">
        <v>35</v>
      </c>
      <c r="H534" s="6">
        <v>2387.52</v>
      </c>
      <c r="I534" s="6">
        <v>2604.06</v>
      </c>
      <c r="J534" s="8" t="s">
        <v>17</v>
      </c>
      <c r="K534" s="12">
        <v>0.16</v>
      </c>
      <c r="L534" s="8" t="s">
        <v>18</v>
      </c>
      <c r="M534" s="8" t="s">
        <v>19</v>
      </c>
      <c r="N534" s="10" t="s">
        <v>23</v>
      </c>
      <c r="O534" s="17">
        <f xml:space="preserve"> (Tabla1[[#This Row],[Unit_Price]] - Tabla1[[#This Row],[Unit_Cost]] ) * Tabla1[[#This Row],[Quantity_Sold]]</f>
        <v>5846.579999999999</v>
      </c>
      <c r="P534" s="12">
        <f>Tabla1[[#This Row],[Profit]] / Tabla1[[#This Row],[Sales_Calculated]]</f>
        <v>8.3154766019216134E-2</v>
      </c>
      <c r="Q534" s="20">
        <f xml:space="preserve"> Tabla1[[#This Row],[Unit_Price]] * Tabla1[[#This Row],[Quantity_Sold]]</f>
        <v>70309.62</v>
      </c>
    </row>
    <row r="535" spans="1:17" x14ac:dyDescent="0.3">
      <c r="A535" s="2">
        <v>1058</v>
      </c>
      <c r="B535" s="1">
        <v>45196</v>
      </c>
      <c r="C535" s="8" t="s">
        <v>38</v>
      </c>
      <c r="D535" s="8" t="s">
        <v>21</v>
      </c>
      <c r="E535" s="6">
        <v>1193.28</v>
      </c>
      <c r="F535" s="2">
        <v>29</v>
      </c>
      <c r="G535" s="8" t="s">
        <v>35</v>
      </c>
      <c r="H535" s="6">
        <v>3578.77</v>
      </c>
      <c r="I535" s="6">
        <v>3635.02</v>
      </c>
      <c r="J535" s="8" t="s">
        <v>30</v>
      </c>
      <c r="K535" s="12">
        <v>0.2</v>
      </c>
      <c r="L535" s="8" t="s">
        <v>27</v>
      </c>
      <c r="M535" s="8" t="s">
        <v>22</v>
      </c>
      <c r="N535" s="10" t="s">
        <v>41</v>
      </c>
      <c r="O535" s="17">
        <f xml:space="preserve"> (Tabla1[[#This Row],[Unit_Price]] - Tabla1[[#This Row],[Unit_Cost]] ) * Tabla1[[#This Row],[Quantity_Sold]]</f>
        <v>1631.25</v>
      </c>
      <c r="P535" s="12">
        <f>Tabla1[[#This Row],[Profit]] / Tabla1[[#This Row],[Sales_Calculated]]</f>
        <v>1.547446781585796E-2</v>
      </c>
      <c r="Q535" s="20">
        <f xml:space="preserve"> Tabla1[[#This Row],[Unit_Price]] * Tabla1[[#This Row],[Quantity_Sold]]</f>
        <v>105415.58</v>
      </c>
    </row>
    <row r="536" spans="1:17" x14ac:dyDescent="0.3">
      <c r="A536" s="2">
        <v>1096</v>
      </c>
      <c r="B536" s="1">
        <v>45261</v>
      </c>
      <c r="C536" s="8" t="s">
        <v>14</v>
      </c>
      <c r="D536" s="8" t="s">
        <v>34</v>
      </c>
      <c r="E536" s="6">
        <v>2962.96</v>
      </c>
      <c r="F536" s="2">
        <v>20</v>
      </c>
      <c r="G536" s="8" t="s">
        <v>16</v>
      </c>
      <c r="H536" s="6">
        <v>1994.9</v>
      </c>
      <c r="I536" s="6">
        <v>2066.5</v>
      </c>
      <c r="J536" s="8" t="s">
        <v>17</v>
      </c>
      <c r="K536" s="12">
        <v>0.06</v>
      </c>
      <c r="L536" s="8" t="s">
        <v>27</v>
      </c>
      <c r="M536" s="8" t="s">
        <v>19</v>
      </c>
      <c r="N536" s="10" t="s">
        <v>46</v>
      </c>
      <c r="O536" s="17">
        <f xml:space="preserve"> (Tabla1[[#This Row],[Unit_Price]] - Tabla1[[#This Row],[Unit_Cost]] ) * Tabla1[[#This Row],[Quantity_Sold]]</f>
        <v>1431.9999999999982</v>
      </c>
      <c r="P536" s="12">
        <f>Tabla1[[#This Row],[Profit]] / Tabla1[[#This Row],[Sales_Calculated]]</f>
        <v>3.4647955480280622E-2</v>
      </c>
      <c r="Q536" s="20">
        <f xml:space="preserve"> Tabla1[[#This Row],[Unit_Price]] * Tabla1[[#This Row],[Quantity_Sold]]</f>
        <v>41330</v>
      </c>
    </row>
    <row r="537" spans="1:17" x14ac:dyDescent="0.3">
      <c r="A537" s="2">
        <v>1001</v>
      </c>
      <c r="B537" s="1">
        <v>45043</v>
      </c>
      <c r="C537" s="8" t="s">
        <v>38</v>
      </c>
      <c r="D537" s="8" t="s">
        <v>34</v>
      </c>
      <c r="E537" s="6">
        <v>3167.09</v>
      </c>
      <c r="F537" s="2">
        <v>25</v>
      </c>
      <c r="G537" s="8" t="s">
        <v>35</v>
      </c>
      <c r="H537" s="6">
        <v>1330.62</v>
      </c>
      <c r="I537" s="6">
        <v>1543.6899999999901</v>
      </c>
      <c r="J537" s="8" t="s">
        <v>30</v>
      </c>
      <c r="K537" s="12">
        <v>0.27</v>
      </c>
      <c r="L537" s="8" t="s">
        <v>31</v>
      </c>
      <c r="M537" s="8" t="s">
        <v>19</v>
      </c>
      <c r="N537" s="10" t="s">
        <v>48</v>
      </c>
      <c r="O537" s="17">
        <f xml:space="preserve"> (Tabla1[[#This Row],[Unit_Price]] - Tabla1[[#This Row],[Unit_Cost]] ) * Tabla1[[#This Row],[Quantity_Sold]]</f>
        <v>5326.7499999997544</v>
      </c>
      <c r="P537" s="12">
        <f>Tabla1[[#This Row],[Profit]] / Tabla1[[#This Row],[Sales_Calculated]]</f>
        <v>0.1380264172210687</v>
      </c>
      <c r="Q537" s="20">
        <f xml:space="preserve"> Tabla1[[#This Row],[Unit_Price]] * Tabla1[[#This Row],[Quantity_Sold]]</f>
        <v>38592.249999999753</v>
      </c>
    </row>
    <row r="538" spans="1:17" x14ac:dyDescent="0.3">
      <c r="A538" s="2">
        <v>1069</v>
      </c>
      <c r="B538" s="1">
        <v>44933</v>
      </c>
      <c r="C538" s="8" t="s">
        <v>42</v>
      </c>
      <c r="D538" s="8" t="s">
        <v>34</v>
      </c>
      <c r="E538" s="6">
        <v>2574.5700000000002</v>
      </c>
      <c r="F538" s="2">
        <v>6</v>
      </c>
      <c r="G538" s="8" t="s">
        <v>26</v>
      </c>
      <c r="H538" s="6">
        <v>1768.6</v>
      </c>
      <c r="I538" s="6">
        <v>2152.1999999999998</v>
      </c>
      <c r="J538" s="8" t="s">
        <v>30</v>
      </c>
      <c r="K538" s="12">
        <v>0.25</v>
      </c>
      <c r="L538" s="8" t="s">
        <v>27</v>
      </c>
      <c r="M538" s="8" t="s">
        <v>22</v>
      </c>
      <c r="N538" s="10" t="s">
        <v>52</v>
      </c>
      <c r="O538" s="17">
        <f xml:space="preserve"> (Tabla1[[#This Row],[Unit_Price]] - Tabla1[[#This Row],[Unit_Cost]] ) * Tabla1[[#This Row],[Quantity_Sold]]</f>
        <v>2301.5999999999995</v>
      </c>
      <c r="P538" s="12">
        <f>Tabla1[[#This Row],[Profit]] / Tabla1[[#This Row],[Sales_Calculated]]</f>
        <v>0.1782362233993123</v>
      </c>
      <c r="Q538" s="20">
        <f xml:space="preserve"> Tabla1[[#This Row],[Unit_Price]] * Tabla1[[#This Row],[Quantity_Sold]]</f>
        <v>12913.199999999999</v>
      </c>
    </row>
    <row r="539" spans="1:17" x14ac:dyDescent="0.3">
      <c r="A539" s="2">
        <v>1004</v>
      </c>
      <c r="B539" s="1">
        <v>45063</v>
      </c>
      <c r="C539" s="8" t="s">
        <v>42</v>
      </c>
      <c r="D539" s="8" t="s">
        <v>15</v>
      </c>
      <c r="E539" s="6">
        <v>5198.5600000000004</v>
      </c>
      <c r="F539" s="2">
        <v>36</v>
      </c>
      <c r="G539" s="8" t="s">
        <v>26</v>
      </c>
      <c r="H539" s="6">
        <v>3981.2</v>
      </c>
      <c r="I539" s="6">
        <v>4432.3499999999904</v>
      </c>
      <c r="J539" s="8" t="s">
        <v>30</v>
      </c>
      <c r="K539" s="12">
        <v>0.14000000000000001</v>
      </c>
      <c r="L539" s="8" t="s">
        <v>18</v>
      </c>
      <c r="M539" s="8" t="s">
        <v>19</v>
      </c>
      <c r="N539" s="10" t="s">
        <v>49</v>
      </c>
      <c r="O539" s="17">
        <f xml:space="preserve"> (Tabla1[[#This Row],[Unit_Price]] - Tabla1[[#This Row],[Unit_Cost]] ) * Tabla1[[#This Row],[Quantity_Sold]]</f>
        <v>16241.399999999659</v>
      </c>
      <c r="P539" s="12">
        <f>Tabla1[[#This Row],[Profit]] / Tabla1[[#This Row],[Sales_Calculated]]</f>
        <v>0.10178573442981523</v>
      </c>
      <c r="Q539" s="20">
        <f xml:space="preserve"> Tabla1[[#This Row],[Unit_Price]] * Tabla1[[#This Row],[Quantity_Sold]]</f>
        <v>159564.59999999966</v>
      </c>
    </row>
    <row r="540" spans="1:17" x14ac:dyDescent="0.3">
      <c r="A540" s="2">
        <v>1016</v>
      </c>
      <c r="B540" s="1">
        <v>45102</v>
      </c>
      <c r="C540" s="8" t="s">
        <v>42</v>
      </c>
      <c r="D540" s="8" t="s">
        <v>21</v>
      </c>
      <c r="E540" s="6">
        <v>5401.98</v>
      </c>
      <c r="F540" s="2">
        <v>2</v>
      </c>
      <c r="G540" s="8" t="s">
        <v>35</v>
      </c>
      <c r="H540" s="6">
        <v>3144.82</v>
      </c>
      <c r="I540" s="6">
        <v>3480.58</v>
      </c>
      <c r="J540" s="8" t="s">
        <v>17</v>
      </c>
      <c r="K540" s="12">
        <v>0.12</v>
      </c>
      <c r="L540" s="8" t="s">
        <v>18</v>
      </c>
      <c r="M540" s="8" t="s">
        <v>22</v>
      </c>
      <c r="N540" s="10" t="s">
        <v>51</v>
      </c>
      <c r="O540" s="17">
        <f xml:space="preserve"> (Tabla1[[#This Row],[Unit_Price]] - Tabla1[[#This Row],[Unit_Cost]] ) * Tabla1[[#This Row],[Quantity_Sold]]</f>
        <v>671.51999999999953</v>
      </c>
      <c r="P540" s="12">
        <f>Tabla1[[#This Row],[Profit]] / Tabla1[[#This Row],[Sales_Calculated]]</f>
        <v>9.6466680840549504E-2</v>
      </c>
      <c r="Q540" s="20">
        <f xml:space="preserve"> Tabla1[[#This Row],[Unit_Price]] * Tabla1[[#This Row],[Quantity_Sold]]</f>
        <v>6961.16</v>
      </c>
    </row>
    <row r="541" spans="1:17" x14ac:dyDescent="0.3">
      <c r="A541" s="2">
        <v>1024</v>
      </c>
      <c r="B541" s="1">
        <v>45254</v>
      </c>
      <c r="C541" s="8" t="s">
        <v>42</v>
      </c>
      <c r="D541" s="8" t="s">
        <v>25</v>
      </c>
      <c r="E541" s="6">
        <v>3633.17</v>
      </c>
      <c r="F541" s="2">
        <v>22</v>
      </c>
      <c r="G541" s="8" t="s">
        <v>26</v>
      </c>
      <c r="H541" s="6">
        <v>4691.32</v>
      </c>
      <c r="I541" s="6">
        <v>4752.88</v>
      </c>
      <c r="J541" s="8" t="s">
        <v>17</v>
      </c>
      <c r="K541" s="12">
        <v>7.0000000000000007E-2</v>
      </c>
      <c r="L541" s="8" t="s">
        <v>27</v>
      </c>
      <c r="M541" s="8" t="s">
        <v>22</v>
      </c>
      <c r="N541" s="10" t="s">
        <v>43</v>
      </c>
      <c r="O541" s="17">
        <f xml:space="preserve"> (Tabla1[[#This Row],[Unit_Price]] - Tabla1[[#This Row],[Unit_Cost]] ) * Tabla1[[#This Row],[Quantity_Sold]]</f>
        <v>1354.3200000000088</v>
      </c>
      <c r="P541" s="12">
        <f>Tabla1[[#This Row],[Profit]] / Tabla1[[#This Row],[Sales_Calculated]]</f>
        <v>1.2952146908821682E-2</v>
      </c>
      <c r="Q541" s="20">
        <f xml:space="preserve"> Tabla1[[#This Row],[Unit_Price]] * Tabla1[[#This Row],[Quantity_Sold]]</f>
        <v>104563.36</v>
      </c>
    </row>
    <row r="542" spans="1:17" x14ac:dyDescent="0.3">
      <c r="A542" s="2">
        <v>1080</v>
      </c>
      <c r="B542" s="1">
        <v>45241</v>
      </c>
      <c r="C542" s="8" t="s">
        <v>42</v>
      </c>
      <c r="D542" s="8" t="s">
        <v>34</v>
      </c>
      <c r="E542" s="6">
        <v>3602.51</v>
      </c>
      <c r="F542" s="2">
        <v>32</v>
      </c>
      <c r="G542" s="8" t="s">
        <v>35</v>
      </c>
      <c r="H542" s="6">
        <v>3414.54</v>
      </c>
      <c r="I542" s="6">
        <v>3753.83</v>
      </c>
      <c r="J542" s="8" t="s">
        <v>30</v>
      </c>
      <c r="K542" s="12">
        <v>0.22</v>
      </c>
      <c r="L542" s="8" t="s">
        <v>18</v>
      </c>
      <c r="M542" s="8" t="s">
        <v>22</v>
      </c>
      <c r="N542" s="10" t="s">
        <v>52</v>
      </c>
      <c r="O542" s="17">
        <f xml:space="preserve"> (Tabla1[[#This Row],[Unit_Price]] - Tabla1[[#This Row],[Unit_Cost]] ) * Tabla1[[#This Row],[Quantity_Sold]]</f>
        <v>10857.279999999999</v>
      </c>
      <c r="P542" s="12">
        <f>Tabla1[[#This Row],[Profit]] / Tabla1[[#This Row],[Sales_Calculated]]</f>
        <v>9.0385020099471733E-2</v>
      </c>
      <c r="Q542" s="20">
        <f xml:space="preserve"> Tabla1[[#This Row],[Unit_Price]] * Tabla1[[#This Row],[Quantity_Sold]]</f>
        <v>120122.56</v>
      </c>
    </row>
    <row r="543" spans="1:17" x14ac:dyDescent="0.3">
      <c r="A543" s="2">
        <v>1002</v>
      </c>
      <c r="B543" s="1">
        <v>45141</v>
      </c>
      <c r="C543" s="8" t="s">
        <v>42</v>
      </c>
      <c r="D543" s="8" t="s">
        <v>25</v>
      </c>
      <c r="E543" s="6">
        <v>8302.7000000000007</v>
      </c>
      <c r="F543" s="2">
        <v>16</v>
      </c>
      <c r="G543" s="8" t="s">
        <v>16</v>
      </c>
      <c r="H543" s="6">
        <v>2872.4</v>
      </c>
      <c r="I543" s="6">
        <v>3193.76</v>
      </c>
      <c r="J543" s="8" t="s">
        <v>17</v>
      </c>
      <c r="K543" s="12">
        <v>0.04</v>
      </c>
      <c r="L543" s="8" t="s">
        <v>31</v>
      </c>
      <c r="M543" s="8" t="s">
        <v>19</v>
      </c>
      <c r="N543" s="10" t="s">
        <v>43</v>
      </c>
      <c r="O543" s="17">
        <f xml:space="preserve"> (Tabla1[[#This Row],[Unit_Price]] - Tabla1[[#This Row],[Unit_Cost]] ) * Tabla1[[#This Row],[Quantity_Sold]]</f>
        <v>5141.760000000002</v>
      </c>
      <c r="P543" s="12">
        <f>Tabla1[[#This Row],[Profit]] / Tabla1[[#This Row],[Sales_Calculated]]</f>
        <v>0.10062121136215624</v>
      </c>
      <c r="Q543" s="20">
        <f xml:space="preserve"> Tabla1[[#This Row],[Unit_Price]] * Tabla1[[#This Row],[Quantity_Sold]]</f>
        <v>51100.160000000003</v>
      </c>
    </row>
    <row r="544" spans="1:17" x14ac:dyDescent="0.3">
      <c r="A544" s="2">
        <v>1092</v>
      </c>
      <c r="B544" s="1">
        <v>45008</v>
      </c>
      <c r="C544" s="8" t="s">
        <v>14</v>
      </c>
      <c r="D544" s="8" t="s">
        <v>25</v>
      </c>
      <c r="E544" s="6">
        <v>7914</v>
      </c>
      <c r="F544" s="2">
        <v>18</v>
      </c>
      <c r="G544" s="8" t="s">
        <v>26</v>
      </c>
      <c r="H544" s="6">
        <v>3070.47</v>
      </c>
      <c r="I544" s="6">
        <v>3475.29</v>
      </c>
      <c r="J544" s="8" t="s">
        <v>17</v>
      </c>
      <c r="K544" s="12">
        <v>0.2</v>
      </c>
      <c r="L544" s="8" t="s">
        <v>27</v>
      </c>
      <c r="M544" s="8" t="s">
        <v>19</v>
      </c>
      <c r="N544" s="10" t="s">
        <v>32</v>
      </c>
      <c r="O544" s="17">
        <f xml:space="preserve"> (Tabla1[[#This Row],[Unit_Price]] - Tabla1[[#This Row],[Unit_Cost]] ) * Tabla1[[#This Row],[Quantity_Sold]]</f>
        <v>7286.7600000000029</v>
      </c>
      <c r="P544" s="12">
        <f>Tabla1[[#This Row],[Profit]] / Tabla1[[#This Row],[Sales_Calculated]]</f>
        <v>0.11648524295814167</v>
      </c>
      <c r="Q544" s="20">
        <f xml:space="preserve"> Tabla1[[#This Row],[Unit_Price]] * Tabla1[[#This Row],[Quantity_Sold]]</f>
        <v>62555.22</v>
      </c>
    </row>
    <row r="545" spans="1:17" x14ac:dyDescent="0.3">
      <c r="A545" s="2">
        <v>1032</v>
      </c>
      <c r="B545" s="1">
        <v>45149</v>
      </c>
      <c r="C545" s="8" t="s">
        <v>24</v>
      </c>
      <c r="D545" s="8" t="s">
        <v>34</v>
      </c>
      <c r="E545" s="6">
        <v>3147.18</v>
      </c>
      <c r="F545" s="2">
        <v>5</v>
      </c>
      <c r="G545" s="8" t="s">
        <v>26</v>
      </c>
      <c r="H545" s="6">
        <v>4714.74</v>
      </c>
      <c r="I545" s="6">
        <v>5129.1099999999997</v>
      </c>
      <c r="J545" s="8" t="s">
        <v>30</v>
      </c>
      <c r="K545" s="12">
        <v>0.25</v>
      </c>
      <c r="L545" s="8" t="s">
        <v>27</v>
      </c>
      <c r="M545" s="8" t="s">
        <v>19</v>
      </c>
      <c r="N545" s="10" t="s">
        <v>50</v>
      </c>
      <c r="O545" s="17">
        <f xml:space="preserve"> (Tabla1[[#This Row],[Unit_Price]] - Tabla1[[#This Row],[Unit_Cost]] ) * Tabla1[[#This Row],[Quantity_Sold]]</f>
        <v>2071.8499999999995</v>
      </c>
      <c r="P545" s="12">
        <f>Tabla1[[#This Row],[Profit]] / Tabla1[[#This Row],[Sales_Calculated]]</f>
        <v>8.0787894975931474E-2</v>
      </c>
      <c r="Q545" s="20">
        <f xml:space="preserve"> Tabla1[[#This Row],[Unit_Price]] * Tabla1[[#This Row],[Quantity_Sold]]</f>
        <v>25645.55</v>
      </c>
    </row>
    <row r="546" spans="1:17" x14ac:dyDescent="0.3">
      <c r="A546" s="2">
        <v>1091</v>
      </c>
      <c r="B546" s="1">
        <v>45029</v>
      </c>
      <c r="C546" s="8" t="s">
        <v>38</v>
      </c>
      <c r="D546" s="8" t="s">
        <v>21</v>
      </c>
      <c r="E546" s="6">
        <v>9146.51</v>
      </c>
      <c r="F546" s="2">
        <v>36</v>
      </c>
      <c r="G546" s="8" t="s">
        <v>35</v>
      </c>
      <c r="H546" s="6">
        <v>3951.59</v>
      </c>
      <c r="I546" s="6">
        <v>4387.01</v>
      </c>
      <c r="J546" s="8" t="s">
        <v>30</v>
      </c>
      <c r="K546" s="12">
        <v>7.0000000000000007E-2</v>
      </c>
      <c r="L546" s="8" t="s">
        <v>27</v>
      </c>
      <c r="M546" s="8" t="s">
        <v>22</v>
      </c>
      <c r="N546" s="10" t="s">
        <v>41</v>
      </c>
      <c r="O546" s="17">
        <f xml:space="preserve"> (Tabla1[[#This Row],[Unit_Price]] - Tabla1[[#This Row],[Unit_Cost]] ) * Tabla1[[#This Row],[Quantity_Sold]]</f>
        <v>15675.120000000003</v>
      </c>
      <c r="P546" s="12">
        <f>Tabla1[[#This Row],[Profit]] / Tabla1[[#This Row],[Sales_Calculated]]</f>
        <v>9.9252110207179833E-2</v>
      </c>
      <c r="Q546" s="20">
        <f xml:space="preserve"> Tabla1[[#This Row],[Unit_Price]] * Tabla1[[#This Row],[Quantity_Sold]]</f>
        <v>157932.36000000002</v>
      </c>
    </row>
    <row r="547" spans="1:17" x14ac:dyDescent="0.3">
      <c r="A547" s="2">
        <v>1084</v>
      </c>
      <c r="B547" s="1">
        <v>45199</v>
      </c>
      <c r="C547" s="8" t="s">
        <v>42</v>
      </c>
      <c r="D547" s="8" t="s">
        <v>34</v>
      </c>
      <c r="E547" s="6">
        <v>9532.8700000000008</v>
      </c>
      <c r="F547" s="2">
        <v>30</v>
      </c>
      <c r="G547" s="8" t="s">
        <v>26</v>
      </c>
      <c r="H547" s="6">
        <v>169</v>
      </c>
      <c r="I547" s="6">
        <v>381.91999999999899</v>
      </c>
      <c r="J547" s="8" t="s">
        <v>17</v>
      </c>
      <c r="K547" s="12">
        <v>0.26</v>
      </c>
      <c r="L547" s="8" t="s">
        <v>18</v>
      </c>
      <c r="M547" s="8" t="s">
        <v>22</v>
      </c>
      <c r="N547" s="10" t="s">
        <v>52</v>
      </c>
      <c r="O547" s="17">
        <f xml:space="preserve"> (Tabla1[[#This Row],[Unit_Price]] - Tabla1[[#This Row],[Unit_Cost]] ) * Tabla1[[#This Row],[Quantity_Sold]]</f>
        <v>6387.5999999999694</v>
      </c>
      <c r="P547" s="12">
        <f>Tabla1[[#This Row],[Profit]] / Tabla1[[#This Row],[Sales_Calculated]]</f>
        <v>0.55749895266024185</v>
      </c>
      <c r="Q547" s="20">
        <f xml:space="preserve"> Tabla1[[#This Row],[Unit_Price]] * Tabla1[[#This Row],[Quantity_Sold]]</f>
        <v>11457.599999999969</v>
      </c>
    </row>
    <row r="548" spans="1:17" x14ac:dyDescent="0.3">
      <c r="A548" s="2">
        <v>1024</v>
      </c>
      <c r="B548" s="1">
        <v>44940</v>
      </c>
      <c r="C548" s="8" t="s">
        <v>14</v>
      </c>
      <c r="D548" s="8" t="s">
        <v>25</v>
      </c>
      <c r="E548" s="6">
        <v>3334.75</v>
      </c>
      <c r="F548" s="2">
        <v>45</v>
      </c>
      <c r="G548" s="8" t="s">
        <v>29</v>
      </c>
      <c r="H548" s="6">
        <v>2693.99</v>
      </c>
      <c r="I548" s="6">
        <v>3045.9399999999901</v>
      </c>
      <c r="J548" s="8" t="s">
        <v>30</v>
      </c>
      <c r="K548" s="12">
        <v>0.01</v>
      </c>
      <c r="L548" s="8" t="s">
        <v>18</v>
      </c>
      <c r="M548" s="8" t="s">
        <v>22</v>
      </c>
      <c r="N548" s="10" t="s">
        <v>32</v>
      </c>
      <c r="O548" s="17">
        <f xml:space="preserve"> (Tabla1[[#This Row],[Unit_Price]] - Tabla1[[#This Row],[Unit_Cost]] ) * Tabla1[[#This Row],[Quantity_Sold]]</f>
        <v>15837.749999999562</v>
      </c>
      <c r="P548" s="12">
        <f>Tabla1[[#This Row],[Profit]] / Tabla1[[#This Row],[Sales_Calculated]]</f>
        <v>0.11554725306473253</v>
      </c>
      <c r="Q548" s="20">
        <f xml:space="preserve"> Tabla1[[#This Row],[Unit_Price]] * Tabla1[[#This Row],[Quantity_Sold]]</f>
        <v>137067.29999999955</v>
      </c>
    </row>
    <row r="549" spans="1:17" x14ac:dyDescent="0.3">
      <c r="A549" s="2">
        <v>1012</v>
      </c>
      <c r="B549" s="1">
        <v>45085</v>
      </c>
      <c r="C549" s="8" t="s">
        <v>14</v>
      </c>
      <c r="D549" s="8" t="s">
        <v>34</v>
      </c>
      <c r="E549" s="6">
        <v>3608.81</v>
      </c>
      <c r="F549" s="2">
        <v>19</v>
      </c>
      <c r="G549" s="8" t="s">
        <v>16</v>
      </c>
      <c r="H549" s="6">
        <v>3457.28</v>
      </c>
      <c r="I549" s="6">
        <v>3598.72</v>
      </c>
      <c r="J549" s="8" t="s">
        <v>30</v>
      </c>
      <c r="K549" s="12">
        <v>0.27</v>
      </c>
      <c r="L549" s="8" t="s">
        <v>27</v>
      </c>
      <c r="M549" s="8" t="s">
        <v>19</v>
      </c>
      <c r="N549" s="10" t="s">
        <v>46</v>
      </c>
      <c r="O549" s="17">
        <f xml:space="preserve"> (Tabla1[[#This Row],[Unit_Price]] - Tabla1[[#This Row],[Unit_Cost]] ) * Tabla1[[#This Row],[Quantity_Sold]]</f>
        <v>2687.3599999999924</v>
      </c>
      <c r="P549" s="12">
        <f>Tabla1[[#This Row],[Profit]] / Tabla1[[#This Row],[Sales_Calculated]]</f>
        <v>3.9302863240263095E-2</v>
      </c>
      <c r="Q549" s="20">
        <f xml:space="preserve"> Tabla1[[#This Row],[Unit_Price]] * Tabla1[[#This Row],[Quantity_Sold]]</f>
        <v>68375.679999999993</v>
      </c>
    </row>
    <row r="550" spans="1:17" x14ac:dyDescent="0.3">
      <c r="A550" s="2">
        <v>1050</v>
      </c>
      <c r="B550" s="1">
        <v>45078</v>
      </c>
      <c r="C550" s="8" t="s">
        <v>14</v>
      </c>
      <c r="D550" s="8" t="s">
        <v>25</v>
      </c>
      <c r="E550" s="6">
        <v>5105.78</v>
      </c>
      <c r="F550" s="2">
        <v>23</v>
      </c>
      <c r="G550" s="8" t="s">
        <v>16</v>
      </c>
      <c r="H550" s="6">
        <v>3756.06</v>
      </c>
      <c r="I550" s="6">
        <v>4255.7299999999996</v>
      </c>
      <c r="J550" s="8" t="s">
        <v>17</v>
      </c>
      <c r="K550" s="12">
        <v>0.04</v>
      </c>
      <c r="L550" s="8" t="s">
        <v>18</v>
      </c>
      <c r="M550" s="8" t="s">
        <v>19</v>
      </c>
      <c r="N550" s="10" t="s">
        <v>32</v>
      </c>
      <c r="O550" s="17">
        <f xml:space="preserve"> (Tabla1[[#This Row],[Unit_Price]] - Tabla1[[#This Row],[Unit_Cost]] ) * Tabla1[[#This Row],[Quantity_Sold]]</f>
        <v>11492.409999999991</v>
      </c>
      <c r="P550" s="12">
        <f>Tabla1[[#This Row],[Profit]] / Tabla1[[#This Row],[Sales_Calculated]]</f>
        <v>0.11741111395694737</v>
      </c>
      <c r="Q550" s="20">
        <f xml:space="preserve"> Tabla1[[#This Row],[Unit_Price]] * Tabla1[[#This Row],[Quantity_Sold]]</f>
        <v>97881.79</v>
      </c>
    </row>
    <row r="551" spans="1:17" x14ac:dyDescent="0.3">
      <c r="A551" s="2">
        <v>1035</v>
      </c>
      <c r="B551" s="1">
        <v>45034</v>
      </c>
      <c r="C551" s="8" t="s">
        <v>24</v>
      </c>
      <c r="D551" s="8" t="s">
        <v>25</v>
      </c>
      <c r="E551" s="6">
        <v>9417.1</v>
      </c>
      <c r="F551" s="2">
        <v>34</v>
      </c>
      <c r="G551" s="8" t="s">
        <v>26</v>
      </c>
      <c r="H551" s="6">
        <v>1105.05</v>
      </c>
      <c r="I551" s="6">
        <v>1200.96</v>
      </c>
      <c r="J551" s="8" t="s">
        <v>17</v>
      </c>
      <c r="K551" s="12">
        <v>0.19</v>
      </c>
      <c r="L551" s="8" t="s">
        <v>18</v>
      </c>
      <c r="M551" s="8" t="s">
        <v>19</v>
      </c>
      <c r="N551" s="10" t="s">
        <v>28</v>
      </c>
      <c r="O551" s="17">
        <f xml:space="preserve"> (Tabla1[[#This Row],[Unit_Price]] - Tabla1[[#This Row],[Unit_Cost]] ) * Tabla1[[#This Row],[Quantity_Sold]]</f>
        <v>3260.9400000000028</v>
      </c>
      <c r="P551" s="12">
        <f>Tabla1[[#This Row],[Profit]] / Tabla1[[#This Row],[Sales_Calculated]]</f>
        <v>7.9861111111111174E-2</v>
      </c>
      <c r="Q551" s="20">
        <f xml:space="preserve"> Tabla1[[#This Row],[Unit_Price]] * Tabla1[[#This Row],[Quantity_Sold]]</f>
        <v>40832.639999999999</v>
      </c>
    </row>
    <row r="552" spans="1:17" x14ac:dyDescent="0.3">
      <c r="A552" s="2">
        <v>1033</v>
      </c>
      <c r="B552" s="1">
        <v>45114</v>
      </c>
      <c r="C552" s="8" t="s">
        <v>38</v>
      </c>
      <c r="D552" s="8" t="s">
        <v>34</v>
      </c>
      <c r="E552" s="6">
        <v>8775.56</v>
      </c>
      <c r="F552" s="2">
        <v>13</v>
      </c>
      <c r="G552" s="8" t="s">
        <v>26</v>
      </c>
      <c r="H552" s="6">
        <v>4342.53</v>
      </c>
      <c r="I552" s="6">
        <v>4357.49</v>
      </c>
      <c r="J552" s="8" t="s">
        <v>30</v>
      </c>
      <c r="K552" s="12">
        <v>0.08</v>
      </c>
      <c r="L552" s="8" t="s">
        <v>27</v>
      </c>
      <c r="M552" s="8" t="s">
        <v>19</v>
      </c>
      <c r="N552" s="10" t="s">
        <v>48</v>
      </c>
      <c r="O552" s="17">
        <f xml:space="preserve"> (Tabla1[[#This Row],[Unit_Price]] - Tabla1[[#This Row],[Unit_Cost]] ) * Tabla1[[#This Row],[Quantity_Sold]]</f>
        <v>194.48000000000047</v>
      </c>
      <c r="P552" s="12">
        <f>Tabla1[[#This Row],[Profit]] / Tabla1[[#This Row],[Sales_Calculated]]</f>
        <v>3.4331690950524358E-3</v>
      </c>
      <c r="Q552" s="20">
        <f xml:space="preserve"> Tabla1[[#This Row],[Unit_Price]] * Tabla1[[#This Row],[Quantity_Sold]]</f>
        <v>56647.369999999995</v>
      </c>
    </row>
    <row r="553" spans="1:17" x14ac:dyDescent="0.3">
      <c r="A553" s="2">
        <v>1033</v>
      </c>
      <c r="B553" s="1">
        <v>45227</v>
      </c>
      <c r="C553" s="8" t="s">
        <v>24</v>
      </c>
      <c r="D553" s="8" t="s">
        <v>15</v>
      </c>
      <c r="E553" s="6">
        <v>1115.42</v>
      </c>
      <c r="F553" s="2">
        <v>43</v>
      </c>
      <c r="G553" s="8" t="s">
        <v>29</v>
      </c>
      <c r="H553" s="6">
        <v>4781.42</v>
      </c>
      <c r="I553" s="6">
        <v>4864.34</v>
      </c>
      <c r="J553" s="8" t="s">
        <v>17</v>
      </c>
      <c r="K553" s="12">
        <v>0.25</v>
      </c>
      <c r="L553" s="8" t="s">
        <v>27</v>
      </c>
      <c r="M553" s="8" t="s">
        <v>19</v>
      </c>
      <c r="N553" s="10" t="s">
        <v>45</v>
      </c>
      <c r="O553" s="17">
        <f xml:space="preserve"> (Tabla1[[#This Row],[Unit_Price]] - Tabla1[[#This Row],[Unit_Cost]] ) * Tabla1[[#This Row],[Quantity_Sold]]</f>
        <v>3565.5600000000031</v>
      </c>
      <c r="P553" s="12">
        <f>Tabla1[[#This Row],[Profit]] / Tabla1[[#This Row],[Sales_Calculated]]</f>
        <v>1.7046505795236366E-2</v>
      </c>
      <c r="Q553" s="20">
        <f xml:space="preserve"> Tabla1[[#This Row],[Unit_Price]] * Tabla1[[#This Row],[Quantity_Sold]]</f>
        <v>209166.62</v>
      </c>
    </row>
    <row r="554" spans="1:17" x14ac:dyDescent="0.3">
      <c r="A554" s="2">
        <v>1061</v>
      </c>
      <c r="B554" s="1">
        <v>45024</v>
      </c>
      <c r="C554" s="8" t="s">
        <v>33</v>
      </c>
      <c r="D554" s="8" t="s">
        <v>34</v>
      </c>
      <c r="E554" s="6">
        <v>3988.03</v>
      </c>
      <c r="F554" s="2">
        <v>29</v>
      </c>
      <c r="G554" s="8" t="s">
        <v>29</v>
      </c>
      <c r="H554" s="6">
        <v>1221.74</v>
      </c>
      <c r="I554" s="6">
        <v>1611.92</v>
      </c>
      <c r="J554" s="8" t="s">
        <v>30</v>
      </c>
      <c r="K554" s="12">
        <v>0.15</v>
      </c>
      <c r="L554" s="8" t="s">
        <v>18</v>
      </c>
      <c r="M554" s="8" t="s">
        <v>22</v>
      </c>
      <c r="N554" s="10" t="s">
        <v>36</v>
      </c>
      <c r="O554" s="17">
        <f xml:space="preserve"> (Tabla1[[#This Row],[Unit_Price]] - Tabla1[[#This Row],[Unit_Cost]] ) * Tabla1[[#This Row],[Quantity_Sold]]</f>
        <v>11315.220000000001</v>
      </c>
      <c r="P554" s="12">
        <f>Tabla1[[#This Row],[Profit]] / Tabla1[[#This Row],[Sales_Calculated]]</f>
        <v>0.24205915926348703</v>
      </c>
      <c r="Q554" s="20">
        <f xml:space="preserve"> Tabla1[[#This Row],[Unit_Price]] * Tabla1[[#This Row],[Quantity_Sold]]</f>
        <v>46745.68</v>
      </c>
    </row>
    <row r="555" spans="1:17" x14ac:dyDescent="0.3">
      <c r="A555" s="2">
        <v>1051</v>
      </c>
      <c r="B555" s="1">
        <v>45057</v>
      </c>
      <c r="C555" s="8" t="s">
        <v>14</v>
      </c>
      <c r="D555" s="8" t="s">
        <v>15</v>
      </c>
      <c r="E555" s="6">
        <v>5578.37</v>
      </c>
      <c r="F555" s="2">
        <v>36</v>
      </c>
      <c r="G555" s="8" t="s">
        <v>26</v>
      </c>
      <c r="H555" s="6">
        <v>4418.95</v>
      </c>
      <c r="I555" s="6">
        <v>4647.87</v>
      </c>
      <c r="J555" s="8" t="s">
        <v>30</v>
      </c>
      <c r="K555" s="12">
        <v>0.04</v>
      </c>
      <c r="L555" s="8" t="s">
        <v>27</v>
      </c>
      <c r="M555" s="8" t="s">
        <v>19</v>
      </c>
      <c r="N555" s="10" t="s">
        <v>20</v>
      </c>
      <c r="O555" s="17">
        <f xml:space="preserve"> (Tabla1[[#This Row],[Unit_Price]] - Tabla1[[#This Row],[Unit_Cost]] ) * Tabla1[[#This Row],[Quantity_Sold]]</f>
        <v>8241.1200000000026</v>
      </c>
      <c r="P555" s="12">
        <f>Tabla1[[#This Row],[Profit]] / Tabla1[[#This Row],[Sales_Calculated]]</f>
        <v>4.9252668426612634E-2</v>
      </c>
      <c r="Q555" s="20">
        <f xml:space="preserve"> Tabla1[[#This Row],[Unit_Price]] * Tabla1[[#This Row],[Quantity_Sold]]</f>
        <v>167323.32</v>
      </c>
    </row>
    <row r="556" spans="1:17" x14ac:dyDescent="0.3">
      <c r="A556" s="2">
        <v>1043</v>
      </c>
      <c r="B556" s="1">
        <v>45219</v>
      </c>
      <c r="C556" s="8" t="s">
        <v>33</v>
      </c>
      <c r="D556" s="8" t="s">
        <v>25</v>
      </c>
      <c r="E556" s="6">
        <v>5081.01</v>
      </c>
      <c r="F556" s="2">
        <v>22</v>
      </c>
      <c r="G556" s="8" t="s">
        <v>26</v>
      </c>
      <c r="H556" s="6">
        <v>530.04</v>
      </c>
      <c r="I556" s="6">
        <v>759.31999999999903</v>
      </c>
      <c r="J556" s="8" t="s">
        <v>17</v>
      </c>
      <c r="K556" s="12">
        <v>0.17</v>
      </c>
      <c r="L556" s="8" t="s">
        <v>27</v>
      </c>
      <c r="M556" s="8" t="s">
        <v>22</v>
      </c>
      <c r="N556" s="10" t="s">
        <v>44</v>
      </c>
      <c r="O556" s="17">
        <f xml:space="preserve"> (Tabla1[[#This Row],[Unit_Price]] - Tabla1[[#This Row],[Unit_Cost]] ) * Tabla1[[#This Row],[Quantity_Sold]]</f>
        <v>5044.1599999999798</v>
      </c>
      <c r="P556" s="12">
        <f>Tabla1[[#This Row],[Profit]] / Tabla1[[#This Row],[Sales_Calculated]]</f>
        <v>0.30195438023494625</v>
      </c>
      <c r="Q556" s="20">
        <f xml:space="preserve"> Tabla1[[#This Row],[Unit_Price]] * Tabla1[[#This Row],[Quantity_Sold]]</f>
        <v>16705.039999999979</v>
      </c>
    </row>
    <row r="557" spans="1:17" x14ac:dyDescent="0.3">
      <c r="A557" s="2">
        <v>1012</v>
      </c>
      <c r="B557" s="1">
        <v>45097</v>
      </c>
      <c r="C557" s="8" t="s">
        <v>42</v>
      </c>
      <c r="D557" s="8" t="s">
        <v>25</v>
      </c>
      <c r="E557" s="6">
        <v>2019.24</v>
      </c>
      <c r="F557" s="2">
        <v>47</v>
      </c>
      <c r="G557" s="8" t="s">
        <v>29</v>
      </c>
      <c r="H557" s="6">
        <v>325.75</v>
      </c>
      <c r="I557" s="6">
        <v>803.71</v>
      </c>
      <c r="J557" s="8" t="s">
        <v>30</v>
      </c>
      <c r="K557" s="12">
        <v>0.12</v>
      </c>
      <c r="L557" s="8" t="s">
        <v>27</v>
      </c>
      <c r="M557" s="8" t="s">
        <v>22</v>
      </c>
      <c r="N557" s="10" t="s">
        <v>43</v>
      </c>
      <c r="O557" s="17">
        <f xml:space="preserve"> (Tabla1[[#This Row],[Unit_Price]] - Tabla1[[#This Row],[Unit_Cost]] ) * Tabla1[[#This Row],[Quantity_Sold]]</f>
        <v>22464.120000000003</v>
      </c>
      <c r="P557" s="12">
        <f>Tabla1[[#This Row],[Profit]] / Tabla1[[#This Row],[Sales_Calculated]]</f>
        <v>0.5946921153152257</v>
      </c>
      <c r="Q557" s="20">
        <f xml:space="preserve"> Tabla1[[#This Row],[Unit_Price]] * Tabla1[[#This Row],[Quantity_Sold]]</f>
        <v>37774.370000000003</v>
      </c>
    </row>
    <row r="558" spans="1:17" x14ac:dyDescent="0.3">
      <c r="A558" s="2">
        <v>1067</v>
      </c>
      <c r="B558" s="1">
        <v>45109</v>
      </c>
      <c r="C558" s="8" t="s">
        <v>42</v>
      </c>
      <c r="D558" s="8" t="s">
        <v>15</v>
      </c>
      <c r="E558" s="6">
        <v>8602.2900000000009</v>
      </c>
      <c r="F558" s="2">
        <v>36</v>
      </c>
      <c r="G558" s="8" t="s">
        <v>35</v>
      </c>
      <c r="H558" s="6">
        <v>689.66</v>
      </c>
      <c r="I558" s="6">
        <v>1150.28</v>
      </c>
      <c r="J558" s="8" t="s">
        <v>30</v>
      </c>
      <c r="K558" s="12">
        <v>0.2</v>
      </c>
      <c r="L558" s="8" t="s">
        <v>27</v>
      </c>
      <c r="M558" s="8" t="s">
        <v>19</v>
      </c>
      <c r="N558" s="10" t="s">
        <v>49</v>
      </c>
      <c r="O558" s="17">
        <f xml:space="preserve"> (Tabla1[[#This Row],[Unit_Price]] - Tabla1[[#This Row],[Unit_Cost]] ) * Tabla1[[#This Row],[Quantity_Sold]]</f>
        <v>16582.32</v>
      </c>
      <c r="P558" s="12">
        <f>Tabla1[[#This Row],[Profit]] / Tabla1[[#This Row],[Sales_Calculated]]</f>
        <v>0.40044163160274016</v>
      </c>
      <c r="Q558" s="20">
        <f xml:space="preserve"> Tabla1[[#This Row],[Unit_Price]] * Tabla1[[#This Row],[Quantity_Sold]]</f>
        <v>41410.080000000002</v>
      </c>
    </row>
    <row r="559" spans="1:17" x14ac:dyDescent="0.3">
      <c r="A559" s="2">
        <v>1065</v>
      </c>
      <c r="B559" s="1">
        <v>45290</v>
      </c>
      <c r="C559" s="8" t="s">
        <v>24</v>
      </c>
      <c r="D559" s="8" t="s">
        <v>25</v>
      </c>
      <c r="E559" s="6">
        <v>6801.71</v>
      </c>
      <c r="F559" s="2">
        <v>9</v>
      </c>
      <c r="G559" s="8" t="s">
        <v>29</v>
      </c>
      <c r="H559" s="6">
        <v>335.82</v>
      </c>
      <c r="I559" s="6">
        <v>498.31</v>
      </c>
      <c r="J559" s="8" t="s">
        <v>30</v>
      </c>
      <c r="K559" s="12">
        <v>0.26</v>
      </c>
      <c r="L559" s="8" t="s">
        <v>18</v>
      </c>
      <c r="M559" s="8" t="s">
        <v>22</v>
      </c>
      <c r="N559" s="10" t="s">
        <v>28</v>
      </c>
      <c r="O559" s="17">
        <f xml:space="preserve"> (Tabla1[[#This Row],[Unit_Price]] - Tabla1[[#This Row],[Unit_Cost]] ) * Tabla1[[#This Row],[Quantity_Sold]]</f>
        <v>1462.41</v>
      </c>
      <c r="P559" s="12">
        <f>Tabla1[[#This Row],[Profit]] / Tabla1[[#This Row],[Sales_Calculated]]</f>
        <v>0.32608215769300236</v>
      </c>
      <c r="Q559" s="20">
        <f xml:space="preserve"> Tabla1[[#This Row],[Unit_Price]] * Tabla1[[#This Row],[Quantity_Sold]]</f>
        <v>4484.79</v>
      </c>
    </row>
    <row r="560" spans="1:17" x14ac:dyDescent="0.3">
      <c r="A560" s="2">
        <v>1033</v>
      </c>
      <c r="B560" s="1">
        <v>44965</v>
      </c>
      <c r="C560" s="8" t="s">
        <v>38</v>
      </c>
      <c r="D560" s="8" t="s">
        <v>15</v>
      </c>
      <c r="E560" s="6">
        <v>8395.2900000000009</v>
      </c>
      <c r="F560" s="2">
        <v>39</v>
      </c>
      <c r="G560" s="8" t="s">
        <v>35</v>
      </c>
      <c r="H560" s="6">
        <v>4232.8100000000004</v>
      </c>
      <c r="I560" s="6">
        <v>4345.25</v>
      </c>
      <c r="J560" s="8" t="s">
        <v>17</v>
      </c>
      <c r="K560" s="12">
        <v>0.12</v>
      </c>
      <c r="L560" s="8" t="s">
        <v>27</v>
      </c>
      <c r="M560" s="8" t="s">
        <v>19</v>
      </c>
      <c r="N560" s="10" t="s">
        <v>40</v>
      </c>
      <c r="O560" s="17">
        <f xml:space="preserve"> (Tabla1[[#This Row],[Unit_Price]] - Tabla1[[#This Row],[Unit_Cost]] ) * Tabla1[[#This Row],[Quantity_Sold]]</f>
        <v>4385.1599999999844</v>
      </c>
      <c r="P560" s="12">
        <f>Tabla1[[#This Row],[Profit]] / Tabla1[[#This Row],[Sales_Calculated]]</f>
        <v>2.587653184511814E-2</v>
      </c>
      <c r="Q560" s="20">
        <f xml:space="preserve"> Tabla1[[#This Row],[Unit_Price]] * Tabla1[[#This Row],[Quantity_Sold]]</f>
        <v>169464.75</v>
      </c>
    </row>
    <row r="561" spans="1:17" x14ac:dyDescent="0.3">
      <c r="A561" s="2">
        <v>1040</v>
      </c>
      <c r="B561" s="1">
        <v>44941</v>
      </c>
      <c r="C561" s="8" t="s">
        <v>33</v>
      </c>
      <c r="D561" s="8" t="s">
        <v>15</v>
      </c>
      <c r="E561" s="6">
        <v>8601.77</v>
      </c>
      <c r="F561" s="2">
        <v>19</v>
      </c>
      <c r="G561" s="8" t="s">
        <v>16</v>
      </c>
      <c r="H561" s="6">
        <v>342.3</v>
      </c>
      <c r="I561" s="6">
        <v>768.06</v>
      </c>
      <c r="J561" s="8" t="s">
        <v>17</v>
      </c>
      <c r="K561" s="12">
        <v>0.09</v>
      </c>
      <c r="L561" s="8" t="s">
        <v>31</v>
      </c>
      <c r="M561" s="8" t="s">
        <v>19</v>
      </c>
      <c r="N561" s="10" t="s">
        <v>53</v>
      </c>
      <c r="O561" s="17">
        <f xml:space="preserve"> (Tabla1[[#This Row],[Unit_Price]] - Tabla1[[#This Row],[Unit_Cost]] ) * Tabla1[[#This Row],[Quantity_Sold]]</f>
        <v>8089.4399999999987</v>
      </c>
      <c r="P561" s="12">
        <f>Tabla1[[#This Row],[Profit]] / Tabla1[[#This Row],[Sales_Calculated]]</f>
        <v>0.55433169283649708</v>
      </c>
      <c r="Q561" s="20">
        <f xml:space="preserve"> Tabla1[[#This Row],[Unit_Price]] * Tabla1[[#This Row],[Quantity_Sold]]</f>
        <v>14593.14</v>
      </c>
    </row>
    <row r="562" spans="1:17" x14ac:dyDescent="0.3">
      <c r="A562" s="2">
        <v>1074</v>
      </c>
      <c r="B562" s="1">
        <v>44930</v>
      </c>
      <c r="C562" s="8" t="s">
        <v>38</v>
      </c>
      <c r="D562" s="8" t="s">
        <v>25</v>
      </c>
      <c r="E562" s="6">
        <v>7508.72</v>
      </c>
      <c r="F562" s="2">
        <v>38</v>
      </c>
      <c r="G562" s="8" t="s">
        <v>16</v>
      </c>
      <c r="H562" s="6">
        <v>1394.74</v>
      </c>
      <c r="I562" s="6">
        <v>1848.69</v>
      </c>
      <c r="J562" s="8" t="s">
        <v>17</v>
      </c>
      <c r="K562" s="12">
        <v>0</v>
      </c>
      <c r="L562" s="8" t="s">
        <v>27</v>
      </c>
      <c r="M562" s="8" t="s">
        <v>22</v>
      </c>
      <c r="N562" s="10" t="s">
        <v>39</v>
      </c>
      <c r="O562" s="17">
        <f xml:space="preserve"> (Tabla1[[#This Row],[Unit_Price]] - Tabla1[[#This Row],[Unit_Cost]] ) * Tabla1[[#This Row],[Quantity_Sold]]</f>
        <v>17250.100000000002</v>
      </c>
      <c r="P562" s="12">
        <f>Tabla1[[#This Row],[Profit]] / Tabla1[[#This Row],[Sales_Calculated]]</f>
        <v>0.24555225592176083</v>
      </c>
      <c r="Q562" s="20">
        <f xml:space="preserve"> Tabla1[[#This Row],[Unit_Price]] * Tabla1[[#This Row],[Quantity_Sold]]</f>
        <v>70250.22</v>
      </c>
    </row>
    <row r="563" spans="1:17" x14ac:dyDescent="0.3">
      <c r="A563" s="2">
        <v>1043</v>
      </c>
      <c r="B563" s="1">
        <v>45275</v>
      </c>
      <c r="C563" s="8" t="s">
        <v>24</v>
      </c>
      <c r="D563" s="8" t="s">
        <v>21</v>
      </c>
      <c r="E563" s="6">
        <v>4448.18</v>
      </c>
      <c r="F563" s="2">
        <v>6</v>
      </c>
      <c r="G563" s="8" t="s">
        <v>29</v>
      </c>
      <c r="H563" s="6">
        <v>563.59</v>
      </c>
      <c r="I563" s="6">
        <v>838.97</v>
      </c>
      <c r="J563" s="8" t="s">
        <v>30</v>
      </c>
      <c r="K563" s="12">
        <v>0.17</v>
      </c>
      <c r="L563" s="8" t="s">
        <v>31</v>
      </c>
      <c r="M563" s="8" t="s">
        <v>19</v>
      </c>
      <c r="N563" s="10" t="s">
        <v>47</v>
      </c>
      <c r="O563" s="17">
        <f xml:space="preserve"> (Tabla1[[#This Row],[Unit_Price]] - Tabla1[[#This Row],[Unit_Cost]] ) * Tabla1[[#This Row],[Quantity_Sold]]</f>
        <v>1652.28</v>
      </c>
      <c r="P563" s="12">
        <f>Tabla1[[#This Row],[Profit]] / Tabla1[[#This Row],[Sales_Calculated]]</f>
        <v>0.32823581296113091</v>
      </c>
      <c r="Q563" s="20">
        <f xml:space="preserve"> Tabla1[[#This Row],[Unit_Price]] * Tabla1[[#This Row],[Quantity_Sold]]</f>
        <v>5033.82</v>
      </c>
    </row>
    <row r="564" spans="1:17" x14ac:dyDescent="0.3">
      <c r="A564" s="2">
        <v>1044</v>
      </c>
      <c r="B564" s="1">
        <v>45136</v>
      </c>
      <c r="C564" s="8" t="s">
        <v>42</v>
      </c>
      <c r="D564" s="8" t="s">
        <v>15</v>
      </c>
      <c r="E564" s="6">
        <v>6144.41</v>
      </c>
      <c r="F564" s="2">
        <v>47</v>
      </c>
      <c r="G564" s="8" t="s">
        <v>35</v>
      </c>
      <c r="H564" s="6">
        <v>1512.34</v>
      </c>
      <c r="I564" s="6">
        <v>1830.76</v>
      </c>
      <c r="J564" s="8" t="s">
        <v>30</v>
      </c>
      <c r="K564" s="12">
        <v>0.12</v>
      </c>
      <c r="L564" s="8" t="s">
        <v>27</v>
      </c>
      <c r="M564" s="8" t="s">
        <v>19</v>
      </c>
      <c r="N564" s="10" t="s">
        <v>49</v>
      </c>
      <c r="O564" s="17">
        <f xml:space="preserve"> (Tabla1[[#This Row],[Unit_Price]] - Tabla1[[#This Row],[Unit_Cost]] ) * Tabla1[[#This Row],[Quantity_Sold]]</f>
        <v>14965.740000000003</v>
      </c>
      <c r="P564" s="12">
        <f>Tabla1[[#This Row],[Profit]] / Tabla1[[#This Row],[Sales_Calculated]]</f>
        <v>0.17392776770303048</v>
      </c>
      <c r="Q564" s="20">
        <f xml:space="preserve"> Tabla1[[#This Row],[Unit_Price]] * Tabla1[[#This Row],[Quantity_Sold]]</f>
        <v>86045.72</v>
      </c>
    </row>
    <row r="565" spans="1:17" x14ac:dyDescent="0.3">
      <c r="A565" s="2">
        <v>1029</v>
      </c>
      <c r="B565" s="1">
        <v>45087</v>
      </c>
      <c r="C565" s="8" t="s">
        <v>38</v>
      </c>
      <c r="D565" s="8" t="s">
        <v>34</v>
      </c>
      <c r="E565" s="6">
        <v>1687.62</v>
      </c>
      <c r="F565" s="2">
        <v>15</v>
      </c>
      <c r="G565" s="8" t="s">
        <v>29</v>
      </c>
      <c r="H565" s="6">
        <v>498.27</v>
      </c>
      <c r="I565" s="6">
        <v>634.16</v>
      </c>
      <c r="J565" s="8" t="s">
        <v>17</v>
      </c>
      <c r="K565" s="12">
        <v>0.11</v>
      </c>
      <c r="L565" s="8" t="s">
        <v>31</v>
      </c>
      <c r="M565" s="8" t="s">
        <v>22</v>
      </c>
      <c r="N565" s="10" t="s">
        <v>48</v>
      </c>
      <c r="O565" s="17">
        <f xml:space="preserve"> (Tabla1[[#This Row],[Unit_Price]] - Tabla1[[#This Row],[Unit_Cost]] ) * Tabla1[[#This Row],[Quantity_Sold]]</f>
        <v>2038.35</v>
      </c>
      <c r="P565" s="12">
        <f>Tabla1[[#This Row],[Profit]] / Tabla1[[#This Row],[Sales_Calculated]]</f>
        <v>0.21428346158698119</v>
      </c>
      <c r="Q565" s="20">
        <f xml:space="preserve"> Tabla1[[#This Row],[Unit_Price]] * Tabla1[[#This Row],[Quantity_Sold]]</f>
        <v>9512.4</v>
      </c>
    </row>
    <row r="566" spans="1:17" x14ac:dyDescent="0.3">
      <c r="A566" s="2">
        <v>1013</v>
      </c>
      <c r="B566" s="1">
        <v>44942</v>
      </c>
      <c r="C566" s="8" t="s">
        <v>38</v>
      </c>
      <c r="D566" s="8" t="s">
        <v>34</v>
      </c>
      <c r="E566" s="6">
        <v>6769.09</v>
      </c>
      <c r="F566" s="2">
        <v>20</v>
      </c>
      <c r="G566" s="8" t="s">
        <v>29</v>
      </c>
      <c r="H566" s="6">
        <v>3356.62</v>
      </c>
      <c r="I566" s="6">
        <v>3759.0099999999902</v>
      </c>
      <c r="J566" s="8" t="s">
        <v>17</v>
      </c>
      <c r="K566" s="12">
        <v>0.05</v>
      </c>
      <c r="L566" s="8" t="s">
        <v>31</v>
      </c>
      <c r="M566" s="8" t="s">
        <v>22</v>
      </c>
      <c r="N566" s="10" t="s">
        <v>48</v>
      </c>
      <c r="O566" s="17">
        <f xml:space="preserve"> (Tabla1[[#This Row],[Unit_Price]] - Tabla1[[#This Row],[Unit_Cost]] ) * Tabla1[[#This Row],[Quantity_Sold]]</f>
        <v>8047.7999999998065</v>
      </c>
      <c r="P566" s="12">
        <f>Tabla1[[#This Row],[Profit]] / Tabla1[[#This Row],[Sales_Calculated]]</f>
        <v>0.10704680221653876</v>
      </c>
      <c r="Q566" s="20">
        <f xml:space="preserve"> Tabla1[[#This Row],[Unit_Price]] * Tabla1[[#This Row],[Quantity_Sold]]</f>
        <v>75180.199999999808</v>
      </c>
    </row>
    <row r="567" spans="1:17" x14ac:dyDescent="0.3">
      <c r="A567" s="2">
        <v>1012</v>
      </c>
      <c r="B567" s="1">
        <v>45034</v>
      </c>
      <c r="C567" s="8" t="s">
        <v>42</v>
      </c>
      <c r="D567" s="8" t="s">
        <v>25</v>
      </c>
      <c r="E567" s="6">
        <v>1874.61</v>
      </c>
      <c r="F567" s="2">
        <v>9</v>
      </c>
      <c r="G567" s="8" t="s">
        <v>35</v>
      </c>
      <c r="H567" s="6">
        <v>709.97</v>
      </c>
      <c r="I567" s="6">
        <v>1029.71</v>
      </c>
      <c r="J567" s="8" t="s">
        <v>17</v>
      </c>
      <c r="K567" s="12">
        <v>0.13</v>
      </c>
      <c r="L567" s="8" t="s">
        <v>27</v>
      </c>
      <c r="M567" s="8" t="s">
        <v>22</v>
      </c>
      <c r="N567" s="10" t="s">
        <v>43</v>
      </c>
      <c r="O567" s="17">
        <f xml:space="preserve"> (Tabla1[[#This Row],[Unit_Price]] - Tabla1[[#This Row],[Unit_Cost]] ) * Tabla1[[#This Row],[Quantity_Sold]]</f>
        <v>2877.66</v>
      </c>
      <c r="P567" s="12">
        <f>Tabla1[[#This Row],[Profit]] / Tabla1[[#This Row],[Sales_Calculated]]</f>
        <v>0.31051461090986782</v>
      </c>
      <c r="Q567" s="20">
        <f xml:space="preserve"> Tabla1[[#This Row],[Unit_Price]] * Tabla1[[#This Row],[Quantity_Sold]]</f>
        <v>9267.39</v>
      </c>
    </row>
    <row r="568" spans="1:17" x14ac:dyDescent="0.3">
      <c r="A568" s="2">
        <v>1095</v>
      </c>
      <c r="B568" s="1">
        <v>45237</v>
      </c>
      <c r="C568" s="8" t="s">
        <v>33</v>
      </c>
      <c r="D568" s="8" t="s">
        <v>21</v>
      </c>
      <c r="E568" s="6">
        <v>6970.1</v>
      </c>
      <c r="F568" s="2">
        <v>32</v>
      </c>
      <c r="G568" s="8" t="s">
        <v>29</v>
      </c>
      <c r="H568" s="6">
        <v>4266.6400000000003</v>
      </c>
      <c r="I568" s="6">
        <v>4523.3599999999997</v>
      </c>
      <c r="J568" s="8" t="s">
        <v>30</v>
      </c>
      <c r="K568" s="12">
        <v>0.3</v>
      </c>
      <c r="L568" s="8" t="s">
        <v>27</v>
      </c>
      <c r="M568" s="8" t="s">
        <v>22</v>
      </c>
      <c r="N568" s="10" t="s">
        <v>37</v>
      </c>
      <c r="O568" s="17">
        <f xml:space="preserve"> (Tabla1[[#This Row],[Unit_Price]] - Tabla1[[#This Row],[Unit_Cost]] ) * Tabla1[[#This Row],[Quantity_Sold]]</f>
        <v>8215.039999999979</v>
      </c>
      <c r="P568" s="12">
        <f>Tabla1[[#This Row],[Profit]] / Tabla1[[#This Row],[Sales_Calculated]]</f>
        <v>5.6754271161260514E-2</v>
      </c>
      <c r="Q568" s="20">
        <f xml:space="preserve"> Tabla1[[#This Row],[Unit_Price]] * Tabla1[[#This Row],[Quantity_Sold]]</f>
        <v>144747.51999999999</v>
      </c>
    </row>
    <row r="569" spans="1:17" x14ac:dyDescent="0.3">
      <c r="A569" s="2">
        <v>1046</v>
      </c>
      <c r="B569" s="1">
        <v>45153</v>
      </c>
      <c r="C569" s="8" t="s">
        <v>42</v>
      </c>
      <c r="D569" s="8" t="s">
        <v>25</v>
      </c>
      <c r="E569" s="6">
        <v>2373.02</v>
      </c>
      <c r="F569" s="2">
        <v>4</v>
      </c>
      <c r="G569" s="8" t="s">
        <v>16</v>
      </c>
      <c r="H569" s="6">
        <v>4095.1</v>
      </c>
      <c r="I569" s="6">
        <v>4134.55</v>
      </c>
      <c r="J569" s="8" t="s">
        <v>17</v>
      </c>
      <c r="K569" s="12">
        <v>0.09</v>
      </c>
      <c r="L569" s="8" t="s">
        <v>27</v>
      </c>
      <c r="M569" s="8" t="s">
        <v>22</v>
      </c>
      <c r="N569" s="10" t="s">
        <v>43</v>
      </c>
      <c r="O569" s="17">
        <f xml:space="preserve"> (Tabla1[[#This Row],[Unit_Price]] - Tabla1[[#This Row],[Unit_Cost]] ) * Tabla1[[#This Row],[Quantity_Sold]]</f>
        <v>157.80000000000109</v>
      </c>
      <c r="P569" s="12">
        <f>Tabla1[[#This Row],[Profit]] / Tabla1[[#This Row],[Sales_Calculated]]</f>
        <v>9.5415462384056959E-3</v>
      </c>
      <c r="Q569" s="20">
        <f xml:space="preserve"> Tabla1[[#This Row],[Unit_Price]] * Tabla1[[#This Row],[Quantity_Sold]]</f>
        <v>16538.2</v>
      </c>
    </row>
    <row r="570" spans="1:17" x14ac:dyDescent="0.3">
      <c r="A570" s="2">
        <v>1002</v>
      </c>
      <c r="B570" s="1">
        <v>45096</v>
      </c>
      <c r="C570" s="8" t="s">
        <v>38</v>
      </c>
      <c r="D570" s="8" t="s">
        <v>21</v>
      </c>
      <c r="E570" s="6">
        <v>1263.76</v>
      </c>
      <c r="F570" s="2">
        <v>18</v>
      </c>
      <c r="G570" s="8" t="s">
        <v>26</v>
      </c>
      <c r="H570" s="6">
        <v>117.63</v>
      </c>
      <c r="I570" s="6">
        <v>576.44000000000005</v>
      </c>
      <c r="J570" s="8" t="s">
        <v>30</v>
      </c>
      <c r="K570" s="12">
        <v>0.18</v>
      </c>
      <c r="L570" s="8" t="s">
        <v>31</v>
      </c>
      <c r="M570" s="8" t="s">
        <v>22</v>
      </c>
      <c r="N570" s="10" t="s">
        <v>41</v>
      </c>
      <c r="O570" s="17">
        <f xml:space="preserve"> (Tabla1[[#This Row],[Unit_Price]] - Tabla1[[#This Row],[Unit_Cost]] ) * Tabla1[[#This Row],[Quantity_Sold]]</f>
        <v>8258.5800000000017</v>
      </c>
      <c r="P570" s="12">
        <f>Tabla1[[#This Row],[Profit]] / Tabla1[[#This Row],[Sales_Calculated]]</f>
        <v>0.79593713135799049</v>
      </c>
      <c r="Q570" s="20">
        <f xml:space="preserve"> Tabla1[[#This Row],[Unit_Price]] * Tabla1[[#This Row],[Quantity_Sold]]</f>
        <v>10375.920000000002</v>
      </c>
    </row>
    <row r="571" spans="1:17" x14ac:dyDescent="0.3">
      <c r="A571" s="2">
        <v>1035</v>
      </c>
      <c r="B571" s="1">
        <v>44960</v>
      </c>
      <c r="C571" s="8" t="s">
        <v>33</v>
      </c>
      <c r="D571" s="8" t="s">
        <v>15</v>
      </c>
      <c r="E571" s="6">
        <v>1736.32</v>
      </c>
      <c r="F571" s="2">
        <v>5</v>
      </c>
      <c r="G571" s="8" t="s">
        <v>26</v>
      </c>
      <c r="H571" s="6">
        <v>4483.8500000000004</v>
      </c>
      <c r="I571" s="6">
        <v>4795.42</v>
      </c>
      <c r="J571" s="8" t="s">
        <v>17</v>
      </c>
      <c r="K571" s="12">
        <v>0.23</v>
      </c>
      <c r="L571" s="8" t="s">
        <v>18</v>
      </c>
      <c r="M571" s="8" t="s">
        <v>19</v>
      </c>
      <c r="N571" s="10" t="s">
        <v>53</v>
      </c>
      <c r="O571" s="17">
        <f xml:space="preserve"> (Tabla1[[#This Row],[Unit_Price]] - Tabla1[[#This Row],[Unit_Cost]] ) * Tabla1[[#This Row],[Quantity_Sold]]</f>
        <v>1557.8499999999985</v>
      </c>
      <c r="P571" s="12">
        <f>Tabla1[[#This Row],[Profit]] / Tabla1[[#This Row],[Sales_Calculated]]</f>
        <v>6.4972411175663394E-2</v>
      </c>
      <c r="Q571" s="20">
        <f xml:space="preserve"> Tabla1[[#This Row],[Unit_Price]] * Tabla1[[#This Row],[Quantity_Sold]]</f>
        <v>23977.1</v>
      </c>
    </row>
    <row r="572" spans="1:17" x14ac:dyDescent="0.3">
      <c r="A572" s="2">
        <v>1087</v>
      </c>
      <c r="B572" s="1">
        <v>45177</v>
      </c>
      <c r="C572" s="8" t="s">
        <v>33</v>
      </c>
      <c r="D572" s="8" t="s">
        <v>15</v>
      </c>
      <c r="E572" s="6">
        <v>119.72</v>
      </c>
      <c r="F572" s="2">
        <v>20</v>
      </c>
      <c r="G572" s="8" t="s">
        <v>29</v>
      </c>
      <c r="H572" s="6">
        <v>193.27</v>
      </c>
      <c r="I572" s="6">
        <v>297.69</v>
      </c>
      <c r="J572" s="8" t="s">
        <v>30</v>
      </c>
      <c r="K572" s="12">
        <v>0.22</v>
      </c>
      <c r="L572" s="8" t="s">
        <v>18</v>
      </c>
      <c r="M572" s="8" t="s">
        <v>19</v>
      </c>
      <c r="N572" s="10" t="s">
        <v>53</v>
      </c>
      <c r="O572" s="17">
        <f xml:space="preserve"> (Tabla1[[#This Row],[Unit_Price]] - Tabla1[[#This Row],[Unit_Cost]] ) * Tabla1[[#This Row],[Quantity_Sold]]</f>
        <v>2088.3999999999996</v>
      </c>
      <c r="P572" s="12">
        <f>Tabla1[[#This Row],[Profit]] / Tabla1[[#This Row],[Sales_Calculated]]</f>
        <v>0.35076757700964084</v>
      </c>
      <c r="Q572" s="20">
        <f xml:space="preserve"> Tabla1[[#This Row],[Unit_Price]] * Tabla1[[#This Row],[Quantity_Sold]]</f>
        <v>5953.8</v>
      </c>
    </row>
    <row r="573" spans="1:17" x14ac:dyDescent="0.3">
      <c r="A573" s="2">
        <v>1081</v>
      </c>
      <c r="B573" s="1">
        <v>45173</v>
      </c>
      <c r="C573" s="8" t="s">
        <v>42</v>
      </c>
      <c r="D573" s="8" t="s">
        <v>15</v>
      </c>
      <c r="E573" s="6">
        <v>7215.52</v>
      </c>
      <c r="F573" s="2">
        <v>23</v>
      </c>
      <c r="G573" s="8" t="s">
        <v>35</v>
      </c>
      <c r="H573" s="6">
        <v>1236.25</v>
      </c>
      <c r="I573" s="6">
        <v>1543.38</v>
      </c>
      <c r="J573" s="8" t="s">
        <v>30</v>
      </c>
      <c r="K573" s="12">
        <v>0.1</v>
      </c>
      <c r="L573" s="8" t="s">
        <v>27</v>
      </c>
      <c r="M573" s="8" t="s">
        <v>19</v>
      </c>
      <c r="N573" s="10" t="s">
        <v>49</v>
      </c>
      <c r="O573" s="17">
        <f xml:space="preserve"> (Tabla1[[#This Row],[Unit_Price]] - Tabla1[[#This Row],[Unit_Cost]] ) * Tabla1[[#This Row],[Quantity_Sold]]</f>
        <v>7063.9900000000025</v>
      </c>
      <c r="P573" s="12">
        <f>Tabla1[[#This Row],[Profit]] / Tabla1[[#This Row],[Sales_Calculated]]</f>
        <v>0.19899830242714048</v>
      </c>
      <c r="Q573" s="20">
        <f xml:space="preserve"> Tabla1[[#This Row],[Unit_Price]] * Tabla1[[#This Row],[Quantity_Sold]]</f>
        <v>35497.740000000005</v>
      </c>
    </row>
    <row r="574" spans="1:17" x14ac:dyDescent="0.3">
      <c r="A574" s="2">
        <v>1090</v>
      </c>
      <c r="B574" s="1">
        <v>45195</v>
      </c>
      <c r="C574" s="8" t="s">
        <v>38</v>
      </c>
      <c r="D574" s="8" t="s">
        <v>15</v>
      </c>
      <c r="E574" s="6">
        <v>7350.77</v>
      </c>
      <c r="F574" s="2">
        <v>11</v>
      </c>
      <c r="G574" s="8" t="s">
        <v>35</v>
      </c>
      <c r="H574" s="6">
        <v>210.33</v>
      </c>
      <c r="I574" s="6">
        <v>552.29</v>
      </c>
      <c r="J574" s="8" t="s">
        <v>17</v>
      </c>
      <c r="K574" s="12">
        <v>0.18</v>
      </c>
      <c r="L574" s="8" t="s">
        <v>18</v>
      </c>
      <c r="M574" s="8" t="s">
        <v>22</v>
      </c>
      <c r="N574" s="10" t="s">
        <v>40</v>
      </c>
      <c r="O574" s="17">
        <f xml:space="preserve"> (Tabla1[[#This Row],[Unit_Price]] - Tabla1[[#This Row],[Unit_Cost]] ) * Tabla1[[#This Row],[Quantity_Sold]]</f>
        <v>3761.559999999999</v>
      </c>
      <c r="P574" s="12">
        <f>Tabla1[[#This Row],[Profit]] / Tabla1[[#This Row],[Sales_Calculated]]</f>
        <v>0.61916746636730691</v>
      </c>
      <c r="Q574" s="20">
        <f xml:space="preserve"> Tabla1[[#This Row],[Unit_Price]] * Tabla1[[#This Row],[Quantity_Sold]]</f>
        <v>6075.19</v>
      </c>
    </row>
    <row r="575" spans="1:17" x14ac:dyDescent="0.3">
      <c r="A575" s="2">
        <v>1008</v>
      </c>
      <c r="B575" s="1">
        <v>45067</v>
      </c>
      <c r="C575" s="8" t="s">
        <v>24</v>
      </c>
      <c r="D575" s="8" t="s">
        <v>34</v>
      </c>
      <c r="E575" s="6">
        <v>5197.84</v>
      </c>
      <c r="F575" s="2">
        <v>37</v>
      </c>
      <c r="G575" s="8" t="s">
        <v>16</v>
      </c>
      <c r="H575" s="6">
        <v>1712.43</v>
      </c>
      <c r="I575" s="6">
        <v>1980.06</v>
      </c>
      <c r="J575" s="8" t="s">
        <v>30</v>
      </c>
      <c r="K575" s="12">
        <v>0.26</v>
      </c>
      <c r="L575" s="8" t="s">
        <v>18</v>
      </c>
      <c r="M575" s="8" t="s">
        <v>19</v>
      </c>
      <c r="N575" s="10" t="s">
        <v>50</v>
      </c>
      <c r="O575" s="17">
        <f xml:space="preserve"> (Tabla1[[#This Row],[Unit_Price]] - Tabla1[[#This Row],[Unit_Cost]] ) * Tabla1[[#This Row],[Quantity_Sold]]</f>
        <v>9902.3099999999959</v>
      </c>
      <c r="P575" s="12">
        <f>Tabla1[[#This Row],[Profit]] / Tabla1[[#This Row],[Sales_Calculated]]</f>
        <v>0.13516257083118688</v>
      </c>
      <c r="Q575" s="20">
        <f xml:space="preserve"> Tabla1[[#This Row],[Unit_Price]] * Tabla1[[#This Row],[Quantity_Sold]]</f>
        <v>73262.22</v>
      </c>
    </row>
    <row r="576" spans="1:17" x14ac:dyDescent="0.3">
      <c r="A576" s="2">
        <v>1093</v>
      </c>
      <c r="B576" s="1">
        <v>45200</v>
      </c>
      <c r="C576" s="8" t="s">
        <v>38</v>
      </c>
      <c r="D576" s="8" t="s">
        <v>34</v>
      </c>
      <c r="E576" s="6">
        <v>1697.49</v>
      </c>
      <c r="F576" s="2">
        <v>22</v>
      </c>
      <c r="G576" s="8" t="s">
        <v>35</v>
      </c>
      <c r="H576" s="6">
        <v>2593.64</v>
      </c>
      <c r="I576" s="6">
        <v>2955.5099999999902</v>
      </c>
      <c r="J576" s="8" t="s">
        <v>17</v>
      </c>
      <c r="K576" s="12">
        <v>0</v>
      </c>
      <c r="L576" s="8" t="s">
        <v>27</v>
      </c>
      <c r="M576" s="8" t="s">
        <v>22</v>
      </c>
      <c r="N576" s="10" t="s">
        <v>48</v>
      </c>
      <c r="O576" s="17">
        <f xml:space="preserve"> (Tabla1[[#This Row],[Unit_Price]] - Tabla1[[#This Row],[Unit_Cost]] ) * Tabla1[[#This Row],[Quantity_Sold]]</f>
        <v>7961.1399999997875</v>
      </c>
      <c r="P576" s="12">
        <f>Tabla1[[#This Row],[Profit]] / Tabla1[[#This Row],[Sales_Calculated]]</f>
        <v>0.12243910526440159</v>
      </c>
      <c r="Q576" s="20">
        <f xml:space="preserve"> Tabla1[[#This Row],[Unit_Price]] * Tabla1[[#This Row],[Quantity_Sold]]</f>
        <v>65021.219999999783</v>
      </c>
    </row>
    <row r="577" spans="1:17" x14ac:dyDescent="0.3">
      <c r="A577" s="2">
        <v>1026</v>
      </c>
      <c r="B577" s="1">
        <v>45022</v>
      </c>
      <c r="C577" s="8" t="s">
        <v>14</v>
      </c>
      <c r="D577" s="8" t="s">
        <v>25</v>
      </c>
      <c r="E577" s="6">
        <v>927.19</v>
      </c>
      <c r="F577" s="2">
        <v>4</v>
      </c>
      <c r="G577" s="8" t="s">
        <v>35</v>
      </c>
      <c r="H577" s="6">
        <v>3993.39</v>
      </c>
      <c r="I577" s="6">
        <v>4288.3</v>
      </c>
      <c r="J577" s="8" t="s">
        <v>30</v>
      </c>
      <c r="K577" s="12">
        <v>0.13</v>
      </c>
      <c r="L577" s="8" t="s">
        <v>31</v>
      </c>
      <c r="M577" s="8" t="s">
        <v>19</v>
      </c>
      <c r="N577" s="10" t="s">
        <v>32</v>
      </c>
      <c r="O577" s="17">
        <f xml:space="preserve"> (Tabla1[[#This Row],[Unit_Price]] - Tabla1[[#This Row],[Unit_Cost]] ) * Tabla1[[#This Row],[Quantity_Sold]]</f>
        <v>1179.6400000000012</v>
      </c>
      <c r="P577" s="12">
        <f>Tabla1[[#This Row],[Profit]] / Tabla1[[#This Row],[Sales_Calculated]]</f>
        <v>6.8770841592239423E-2</v>
      </c>
      <c r="Q577" s="20">
        <f xml:space="preserve"> Tabla1[[#This Row],[Unit_Price]] * Tabla1[[#This Row],[Quantity_Sold]]</f>
        <v>17153.2</v>
      </c>
    </row>
    <row r="578" spans="1:17" x14ac:dyDescent="0.3">
      <c r="A578" s="2">
        <v>1074</v>
      </c>
      <c r="B578" s="1">
        <v>45153</v>
      </c>
      <c r="C578" s="8" t="s">
        <v>24</v>
      </c>
      <c r="D578" s="8" t="s">
        <v>21</v>
      </c>
      <c r="E578" s="6">
        <v>289.38</v>
      </c>
      <c r="F578" s="2">
        <v>29</v>
      </c>
      <c r="G578" s="8" t="s">
        <v>16</v>
      </c>
      <c r="H578" s="6">
        <v>1723.01</v>
      </c>
      <c r="I578" s="6">
        <v>2197.42</v>
      </c>
      <c r="J578" s="8" t="s">
        <v>30</v>
      </c>
      <c r="K578" s="12">
        <v>7.0000000000000007E-2</v>
      </c>
      <c r="L578" s="8" t="s">
        <v>27</v>
      </c>
      <c r="M578" s="8" t="s">
        <v>22</v>
      </c>
      <c r="N578" s="10" t="s">
        <v>47</v>
      </c>
      <c r="O578" s="17">
        <f xml:space="preserve"> (Tabla1[[#This Row],[Unit_Price]] - Tabla1[[#This Row],[Unit_Cost]] ) * Tabla1[[#This Row],[Quantity_Sold]]</f>
        <v>13757.890000000003</v>
      </c>
      <c r="P578" s="12">
        <f>Tabla1[[#This Row],[Profit]] / Tabla1[[#This Row],[Sales_Calculated]]</f>
        <v>0.21589409398294368</v>
      </c>
      <c r="Q578" s="20">
        <f xml:space="preserve"> Tabla1[[#This Row],[Unit_Price]] * Tabla1[[#This Row],[Quantity_Sold]]</f>
        <v>63725.18</v>
      </c>
    </row>
    <row r="579" spans="1:17" x14ac:dyDescent="0.3">
      <c r="A579" s="2">
        <v>1090</v>
      </c>
      <c r="B579" s="1">
        <v>44965</v>
      </c>
      <c r="C579" s="8" t="s">
        <v>33</v>
      </c>
      <c r="D579" s="8" t="s">
        <v>15</v>
      </c>
      <c r="E579" s="6">
        <v>1740.91</v>
      </c>
      <c r="F579" s="2">
        <v>44</v>
      </c>
      <c r="G579" s="8" t="s">
        <v>29</v>
      </c>
      <c r="H579" s="6">
        <v>3542.18</v>
      </c>
      <c r="I579" s="6">
        <v>3578.49</v>
      </c>
      <c r="J579" s="8" t="s">
        <v>17</v>
      </c>
      <c r="K579" s="12">
        <v>0.12</v>
      </c>
      <c r="L579" s="8" t="s">
        <v>18</v>
      </c>
      <c r="M579" s="8" t="s">
        <v>19</v>
      </c>
      <c r="N579" s="10" t="s">
        <v>53</v>
      </c>
      <c r="O579" s="17">
        <f xml:space="preserve"> (Tabla1[[#This Row],[Unit_Price]] - Tabla1[[#This Row],[Unit_Cost]] ) * Tabla1[[#This Row],[Quantity_Sold]]</f>
        <v>1597.6399999999976</v>
      </c>
      <c r="P579" s="12">
        <f>Tabla1[[#This Row],[Profit]] / Tabla1[[#This Row],[Sales_Calculated]]</f>
        <v>1.0146737869883651E-2</v>
      </c>
      <c r="Q579" s="20">
        <f xml:space="preserve"> Tabla1[[#This Row],[Unit_Price]] * Tabla1[[#This Row],[Quantity_Sold]]</f>
        <v>157453.56</v>
      </c>
    </row>
    <row r="580" spans="1:17" x14ac:dyDescent="0.3">
      <c r="A580" s="2">
        <v>1034</v>
      </c>
      <c r="B580" s="1">
        <v>45228</v>
      </c>
      <c r="C580" s="8" t="s">
        <v>24</v>
      </c>
      <c r="D580" s="8" t="s">
        <v>15</v>
      </c>
      <c r="E580" s="6">
        <v>8919.4699999999993</v>
      </c>
      <c r="F580" s="2">
        <v>34</v>
      </c>
      <c r="G580" s="8" t="s">
        <v>26</v>
      </c>
      <c r="H580" s="6">
        <v>978.15</v>
      </c>
      <c r="I580" s="6">
        <v>1040.21</v>
      </c>
      <c r="J580" s="8" t="s">
        <v>30</v>
      </c>
      <c r="K580" s="12">
        <v>0.12</v>
      </c>
      <c r="L580" s="8" t="s">
        <v>31</v>
      </c>
      <c r="M580" s="8" t="s">
        <v>22</v>
      </c>
      <c r="N580" s="10" t="s">
        <v>45</v>
      </c>
      <c r="O580" s="17">
        <f xml:space="preserve"> (Tabla1[[#This Row],[Unit_Price]] - Tabla1[[#This Row],[Unit_Cost]] ) * Tabla1[[#This Row],[Quantity_Sold]]</f>
        <v>2110.0400000000018</v>
      </c>
      <c r="P580" s="12">
        <f>Tabla1[[#This Row],[Profit]] / Tabla1[[#This Row],[Sales_Calculated]]</f>
        <v>5.9661029984330136E-2</v>
      </c>
      <c r="Q580" s="20">
        <f xml:space="preserve"> Tabla1[[#This Row],[Unit_Price]] * Tabla1[[#This Row],[Quantity_Sold]]</f>
        <v>35367.14</v>
      </c>
    </row>
    <row r="581" spans="1:17" x14ac:dyDescent="0.3">
      <c r="A581" s="2">
        <v>1007</v>
      </c>
      <c r="B581" s="1">
        <v>44955</v>
      </c>
      <c r="C581" s="8" t="s">
        <v>33</v>
      </c>
      <c r="D581" s="8" t="s">
        <v>21</v>
      </c>
      <c r="E581" s="6">
        <v>2491.21</v>
      </c>
      <c r="F581" s="2">
        <v>13</v>
      </c>
      <c r="G581" s="8" t="s">
        <v>16</v>
      </c>
      <c r="H581" s="6">
        <v>3765.46</v>
      </c>
      <c r="I581" s="6">
        <v>3860.56</v>
      </c>
      <c r="J581" s="8" t="s">
        <v>17</v>
      </c>
      <c r="K581" s="12">
        <v>0.22</v>
      </c>
      <c r="L581" s="8" t="s">
        <v>18</v>
      </c>
      <c r="M581" s="8" t="s">
        <v>22</v>
      </c>
      <c r="N581" s="10" t="s">
        <v>37</v>
      </c>
      <c r="O581" s="17">
        <f xml:space="preserve"> (Tabla1[[#This Row],[Unit_Price]] - Tabla1[[#This Row],[Unit_Cost]] ) * Tabla1[[#This Row],[Quantity_Sold]]</f>
        <v>1236.2999999999988</v>
      </c>
      <c r="P581" s="12">
        <f>Tabla1[[#This Row],[Profit]] / Tabla1[[#This Row],[Sales_Calculated]]</f>
        <v>2.463373189381849E-2</v>
      </c>
      <c r="Q581" s="20">
        <f xml:space="preserve"> Tabla1[[#This Row],[Unit_Price]] * Tabla1[[#This Row],[Quantity_Sold]]</f>
        <v>50187.28</v>
      </c>
    </row>
    <row r="582" spans="1:17" x14ac:dyDescent="0.3">
      <c r="A582" s="2">
        <v>1068</v>
      </c>
      <c r="B582" s="1">
        <v>45244</v>
      </c>
      <c r="C582" s="8" t="s">
        <v>33</v>
      </c>
      <c r="D582" s="8" t="s">
        <v>21</v>
      </c>
      <c r="E582" s="6">
        <v>3607.29</v>
      </c>
      <c r="F582" s="2">
        <v>42</v>
      </c>
      <c r="G582" s="8" t="s">
        <v>29</v>
      </c>
      <c r="H582" s="6">
        <v>1218.18</v>
      </c>
      <c r="I582" s="6">
        <v>1566.36</v>
      </c>
      <c r="J582" s="8" t="s">
        <v>17</v>
      </c>
      <c r="K582" s="12">
        <v>0.03</v>
      </c>
      <c r="L582" s="8" t="s">
        <v>31</v>
      </c>
      <c r="M582" s="8" t="s">
        <v>22</v>
      </c>
      <c r="N582" s="10" t="s">
        <v>37</v>
      </c>
      <c r="O582" s="17">
        <f xml:space="preserve"> (Tabla1[[#This Row],[Unit_Price]] - Tabla1[[#This Row],[Unit_Cost]] ) * Tabla1[[#This Row],[Quantity_Sold]]</f>
        <v>14623.559999999994</v>
      </c>
      <c r="P582" s="12">
        <f>Tabla1[[#This Row],[Profit]] / Tabla1[[#This Row],[Sales_Calculated]]</f>
        <v>0.22228606450624369</v>
      </c>
      <c r="Q582" s="20">
        <f xml:space="preserve"> Tabla1[[#This Row],[Unit_Price]] * Tabla1[[#This Row],[Quantity_Sold]]</f>
        <v>65787.12</v>
      </c>
    </row>
    <row r="583" spans="1:17" x14ac:dyDescent="0.3">
      <c r="A583" s="2">
        <v>1058</v>
      </c>
      <c r="B583" s="1">
        <v>45171</v>
      </c>
      <c r="C583" s="8" t="s">
        <v>24</v>
      </c>
      <c r="D583" s="8" t="s">
        <v>25</v>
      </c>
      <c r="E583" s="6">
        <v>1142.92</v>
      </c>
      <c r="F583" s="2">
        <v>9</v>
      </c>
      <c r="G583" s="8" t="s">
        <v>16</v>
      </c>
      <c r="H583" s="6">
        <v>760.55</v>
      </c>
      <c r="I583" s="6">
        <v>1086.8899999999901</v>
      </c>
      <c r="J583" s="8" t="s">
        <v>17</v>
      </c>
      <c r="K583" s="12">
        <v>0.15</v>
      </c>
      <c r="L583" s="8" t="s">
        <v>18</v>
      </c>
      <c r="M583" s="8" t="s">
        <v>22</v>
      </c>
      <c r="N583" s="10" t="s">
        <v>28</v>
      </c>
      <c r="O583" s="17">
        <f xml:space="preserve"> (Tabla1[[#This Row],[Unit_Price]] - Tabla1[[#This Row],[Unit_Cost]] ) * Tabla1[[#This Row],[Quantity_Sold]]</f>
        <v>2937.0599999999113</v>
      </c>
      <c r="P583" s="12">
        <f>Tabla1[[#This Row],[Profit]] / Tabla1[[#This Row],[Sales_Calculated]]</f>
        <v>0.30025117537192642</v>
      </c>
      <c r="Q583" s="20">
        <f xml:space="preserve"> Tabla1[[#This Row],[Unit_Price]] * Tabla1[[#This Row],[Quantity_Sold]]</f>
        <v>9782.0099999999111</v>
      </c>
    </row>
    <row r="584" spans="1:17" x14ac:dyDescent="0.3">
      <c r="A584" s="2">
        <v>1075</v>
      </c>
      <c r="B584" s="1">
        <v>45162</v>
      </c>
      <c r="C584" s="8" t="s">
        <v>33</v>
      </c>
      <c r="D584" s="8" t="s">
        <v>21</v>
      </c>
      <c r="E584" s="6">
        <v>2301.38</v>
      </c>
      <c r="F584" s="2">
        <v>42</v>
      </c>
      <c r="G584" s="8" t="s">
        <v>29</v>
      </c>
      <c r="H584" s="6">
        <v>967.77</v>
      </c>
      <c r="I584" s="6">
        <v>1414.88</v>
      </c>
      <c r="J584" s="8" t="s">
        <v>30</v>
      </c>
      <c r="K584" s="12">
        <v>0.17</v>
      </c>
      <c r="L584" s="8" t="s">
        <v>27</v>
      </c>
      <c r="M584" s="8" t="s">
        <v>19</v>
      </c>
      <c r="N584" s="10" t="s">
        <v>37</v>
      </c>
      <c r="O584" s="17">
        <f xml:space="preserve"> (Tabla1[[#This Row],[Unit_Price]] - Tabla1[[#This Row],[Unit_Cost]] ) * Tabla1[[#This Row],[Quantity_Sold]]</f>
        <v>18778.620000000006</v>
      </c>
      <c r="P584" s="12">
        <f>Tabla1[[#This Row],[Profit]] / Tabla1[[#This Row],[Sales_Calculated]]</f>
        <v>0.31600559764785713</v>
      </c>
      <c r="Q584" s="20">
        <f xml:space="preserve"> Tabla1[[#This Row],[Unit_Price]] * Tabla1[[#This Row],[Quantity_Sold]]</f>
        <v>59424.960000000006</v>
      </c>
    </row>
    <row r="585" spans="1:17" x14ac:dyDescent="0.3">
      <c r="A585" s="2">
        <v>1029</v>
      </c>
      <c r="B585" s="1">
        <v>45111</v>
      </c>
      <c r="C585" s="8" t="s">
        <v>33</v>
      </c>
      <c r="D585" s="8" t="s">
        <v>15</v>
      </c>
      <c r="E585" s="6">
        <v>5240.32</v>
      </c>
      <c r="F585" s="2">
        <v>31</v>
      </c>
      <c r="G585" s="8" t="s">
        <v>16</v>
      </c>
      <c r="H585" s="6">
        <v>951.21</v>
      </c>
      <c r="I585" s="6">
        <v>1320.32</v>
      </c>
      <c r="J585" s="8" t="s">
        <v>30</v>
      </c>
      <c r="K585" s="12">
        <v>0.15</v>
      </c>
      <c r="L585" s="8" t="s">
        <v>18</v>
      </c>
      <c r="M585" s="8" t="s">
        <v>19</v>
      </c>
      <c r="N585" s="10" t="s">
        <v>53</v>
      </c>
      <c r="O585" s="17">
        <f xml:space="preserve"> (Tabla1[[#This Row],[Unit_Price]] - Tabla1[[#This Row],[Unit_Cost]] ) * Tabla1[[#This Row],[Quantity_Sold]]</f>
        <v>11442.409999999996</v>
      </c>
      <c r="P585" s="12">
        <f>Tabla1[[#This Row],[Profit]] / Tabla1[[#This Row],[Sales_Calculated]]</f>
        <v>0.27956101551139112</v>
      </c>
      <c r="Q585" s="20">
        <f xml:space="preserve"> Tabla1[[#This Row],[Unit_Price]] * Tabla1[[#This Row],[Quantity_Sold]]</f>
        <v>40929.919999999998</v>
      </c>
    </row>
    <row r="586" spans="1:17" x14ac:dyDescent="0.3">
      <c r="A586" s="2">
        <v>1036</v>
      </c>
      <c r="B586" s="1">
        <v>45198</v>
      </c>
      <c r="C586" s="8" t="s">
        <v>14</v>
      </c>
      <c r="D586" s="8" t="s">
        <v>15</v>
      </c>
      <c r="E586" s="6">
        <v>6116.75</v>
      </c>
      <c r="F586" s="2">
        <v>7</v>
      </c>
      <c r="G586" s="8" t="s">
        <v>29</v>
      </c>
      <c r="H586" s="6">
        <v>2588.67</v>
      </c>
      <c r="I586" s="6">
        <v>2847.76</v>
      </c>
      <c r="J586" s="8" t="s">
        <v>30</v>
      </c>
      <c r="K586" s="12">
        <v>0.22</v>
      </c>
      <c r="L586" s="8" t="s">
        <v>18</v>
      </c>
      <c r="M586" s="8" t="s">
        <v>22</v>
      </c>
      <c r="N586" s="10" t="s">
        <v>20</v>
      </c>
      <c r="O586" s="17">
        <f xml:space="preserve"> (Tabla1[[#This Row],[Unit_Price]] - Tabla1[[#This Row],[Unit_Cost]] ) * Tabla1[[#This Row],[Quantity_Sold]]</f>
        <v>1813.630000000001</v>
      </c>
      <c r="P586" s="12">
        <f>Tabla1[[#This Row],[Profit]] / Tabla1[[#This Row],[Sales_Calculated]]</f>
        <v>9.0980279237014405E-2</v>
      </c>
      <c r="Q586" s="20">
        <f xml:space="preserve"> Tabla1[[#This Row],[Unit_Price]] * Tabla1[[#This Row],[Quantity_Sold]]</f>
        <v>19934.32</v>
      </c>
    </row>
    <row r="587" spans="1:17" x14ac:dyDescent="0.3">
      <c r="A587" s="2">
        <v>1089</v>
      </c>
      <c r="B587" s="1">
        <v>45162</v>
      </c>
      <c r="C587" s="8" t="s">
        <v>38</v>
      </c>
      <c r="D587" s="8" t="s">
        <v>15</v>
      </c>
      <c r="E587" s="6">
        <v>2528.9899999999998</v>
      </c>
      <c r="F587" s="2">
        <v>4</v>
      </c>
      <c r="G587" s="8" t="s">
        <v>16</v>
      </c>
      <c r="H587" s="6">
        <v>4231.75</v>
      </c>
      <c r="I587" s="6">
        <v>4727.75</v>
      </c>
      <c r="J587" s="8" t="s">
        <v>17</v>
      </c>
      <c r="K587" s="12">
        <v>0.12</v>
      </c>
      <c r="L587" s="8" t="s">
        <v>31</v>
      </c>
      <c r="M587" s="8" t="s">
        <v>22</v>
      </c>
      <c r="N587" s="10" t="s">
        <v>40</v>
      </c>
      <c r="O587" s="17">
        <f xml:space="preserve"> (Tabla1[[#This Row],[Unit_Price]] - Tabla1[[#This Row],[Unit_Cost]] ) * Tabla1[[#This Row],[Quantity_Sold]]</f>
        <v>1984</v>
      </c>
      <c r="P587" s="12">
        <f>Tabla1[[#This Row],[Profit]] / Tabla1[[#This Row],[Sales_Calculated]]</f>
        <v>0.10491248479720798</v>
      </c>
      <c r="Q587" s="20">
        <f xml:space="preserve"> Tabla1[[#This Row],[Unit_Price]] * Tabla1[[#This Row],[Quantity_Sold]]</f>
        <v>18911</v>
      </c>
    </row>
    <row r="588" spans="1:17" x14ac:dyDescent="0.3">
      <c r="A588" s="2">
        <v>1021</v>
      </c>
      <c r="B588" s="1">
        <v>45165</v>
      </c>
      <c r="C588" s="8" t="s">
        <v>38</v>
      </c>
      <c r="D588" s="8" t="s">
        <v>15</v>
      </c>
      <c r="E588" s="6">
        <v>671.55</v>
      </c>
      <c r="F588" s="2">
        <v>19</v>
      </c>
      <c r="G588" s="8" t="s">
        <v>29</v>
      </c>
      <c r="H588" s="6">
        <v>444.05</v>
      </c>
      <c r="I588" s="6">
        <v>584.44000000000005</v>
      </c>
      <c r="J588" s="8" t="s">
        <v>17</v>
      </c>
      <c r="K588" s="12">
        <v>0.28000000000000003</v>
      </c>
      <c r="L588" s="8" t="s">
        <v>18</v>
      </c>
      <c r="M588" s="8" t="s">
        <v>22</v>
      </c>
      <c r="N588" s="10" t="s">
        <v>40</v>
      </c>
      <c r="O588" s="17">
        <f xml:space="preserve"> (Tabla1[[#This Row],[Unit_Price]] - Tabla1[[#This Row],[Unit_Cost]] ) * Tabla1[[#This Row],[Quantity_Sold]]</f>
        <v>2667.4100000000008</v>
      </c>
      <c r="P588" s="12">
        <f>Tabla1[[#This Row],[Profit]] / Tabla1[[#This Row],[Sales_Calculated]]</f>
        <v>0.24021285332968317</v>
      </c>
      <c r="Q588" s="20">
        <f xml:space="preserve"> Tabla1[[#This Row],[Unit_Price]] * Tabla1[[#This Row],[Quantity_Sold]]</f>
        <v>11104.36</v>
      </c>
    </row>
    <row r="589" spans="1:17" x14ac:dyDescent="0.3">
      <c r="A589" s="2">
        <v>1036</v>
      </c>
      <c r="B589" s="1">
        <v>45192</v>
      </c>
      <c r="C589" s="8" t="s">
        <v>14</v>
      </c>
      <c r="D589" s="8" t="s">
        <v>15</v>
      </c>
      <c r="E589" s="6">
        <v>3971.23</v>
      </c>
      <c r="F589" s="2">
        <v>42</v>
      </c>
      <c r="G589" s="8" t="s">
        <v>16</v>
      </c>
      <c r="H589" s="6">
        <v>3549.43</v>
      </c>
      <c r="I589" s="6">
        <v>3967.6899999999901</v>
      </c>
      <c r="J589" s="8" t="s">
        <v>30</v>
      </c>
      <c r="K589" s="12">
        <v>0.14000000000000001</v>
      </c>
      <c r="L589" s="8" t="s">
        <v>27</v>
      </c>
      <c r="M589" s="8" t="s">
        <v>19</v>
      </c>
      <c r="N589" s="10" t="s">
        <v>20</v>
      </c>
      <c r="O589" s="17">
        <f xml:space="preserve"> (Tabla1[[#This Row],[Unit_Price]] - Tabla1[[#This Row],[Unit_Cost]] ) * Tabla1[[#This Row],[Quantity_Sold]]</f>
        <v>17566.919999999591</v>
      </c>
      <c r="P589" s="12">
        <f>Tabla1[[#This Row],[Profit]] / Tabla1[[#This Row],[Sales_Calculated]]</f>
        <v>0.10541650179323267</v>
      </c>
      <c r="Q589" s="20">
        <f xml:space="preserve"> Tabla1[[#This Row],[Unit_Price]] * Tabla1[[#This Row],[Quantity_Sold]]</f>
        <v>166642.97999999957</v>
      </c>
    </row>
    <row r="590" spans="1:17" x14ac:dyDescent="0.3">
      <c r="A590" s="2">
        <v>1010</v>
      </c>
      <c r="B590" s="1">
        <v>45285</v>
      </c>
      <c r="C590" s="8" t="s">
        <v>24</v>
      </c>
      <c r="D590" s="8" t="s">
        <v>25</v>
      </c>
      <c r="E590" s="6">
        <v>2418.61</v>
      </c>
      <c r="F590" s="2">
        <v>30</v>
      </c>
      <c r="G590" s="8" t="s">
        <v>26</v>
      </c>
      <c r="H590" s="6">
        <v>3289.01</v>
      </c>
      <c r="I590" s="6">
        <v>3508.14</v>
      </c>
      <c r="J590" s="8" t="s">
        <v>30</v>
      </c>
      <c r="K590" s="12">
        <v>0.17</v>
      </c>
      <c r="L590" s="8" t="s">
        <v>27</v>
      </c>
      <c r="M590" s="8" t="s">
        <v>22</v>
      </c>
      <c r="N590" s="10" t="s">
        <v>28</v>
      </c>
      <c r="O590" s="17">
        <f xml:space="preserve"> (Tabla1[[#This Row],[Unit_Price]] - Tabla1[[#This Row],[Unit_Cost]] ) * Tabla1[[#This Row],[Quantity_Sold]]</f>
        <v>6573.8999999999896</v>
      </c>
      <c r="P590" s="12">
        <f>Tabla1[[#This Row],[Profit]] / Tabla1[[#This Row],[Sales_Calculated]]</f>
        <v>6.2463299640265112E-2</v>
      </c>
      <c r="Q590" s="20">
        <f xml:space="preserve"> Tabla1[[#This Row],[Unit_Price]] * Tabla1[[#This Row],[Quantity_Sold]]</f>
        <v>105244.2</v>
      </c>
    </row>
    <row r="591" spans="1:17" x14ac:dyDescent="0.3">
      <c r="A591" s="2">
        <v>1073</v>
      </c>
      <c r="B591" s="1">
        <v>45266</v>
      </c>
      <c r="C591" s="8" t="s">
        <v>42</v>
      </c>
      <c r="D591" s="8" t="s">
        <v>15</v>
      </c>
      <c r="E591" s="6">
        <v>2273.58</v>
      </c>
      <c r="F591" s="2">
        <v>31</v>
      </c>
      <c r="G591" s="8" t="s">
        <v>26</v>
      </c>
      <c r="H591" s="6">
        <v>4368.97</v>
      </c>
      <c r="I591" s="6">
        <v>4696.8500000000004</v>
      </c>
      <c r="J591" s="8" t="s">
        <v>17</v>
      </c>
      <c r="K591" s="12">
        <v>0.25</v>
      </c>
      <c r="L591" s="8" t="s">
        <v>27</v>
      </c>
      <c r="M591" s="8" t="s">
        <v>22</v>
      </c>
      <c r="N591" s="10" t="s">
        <v>49</v>
      </c>
      <c r="O591" s="17">
        <f xml:space="preserve"> (Tabla1[[#This Row],[Unit_Price]] - Tabla1[[#This Row],[Unit_Cost]] ) * Tabla1[[#This Row],[Quantity_Sold]]</f>
        <v>10164.280000000002</v>
      </c>
      <c r="P591" s="12">
        <f>Tabla1[[#This Row],[Profit]] / Tabla1[[#This Row],[Sales_Calculated]]</f>
        <v>6.9808488667937041E-2</v>
      </c>
      <c r="Q591" s="20">
        <f xml:space="preserve"> Tabla1[[#This Row],[Unit_Price]] * Tabla1[[#This Row],[Quantity_Sold]]</f>
        <v>145602.35</v>
      </c>
    </row>
    <row r="592" spans="1:17" x14ac:dyDescent="0.3">
      <c r="A592" s="2">
        <v>1024</v>
      </c>
      <c r="B592" s="1">
        <v>44991</v>
      </c>
      <c r="C592" s="8" t="s">
        <v>42</v>
      </c>
      <c r="D592" s="8" t="s">
        <v>25</v>
      </c>
      <c r="E592" s="6">
        <v>9602.64</v>
      </c>
      <c r="F592" s="2">
        <v>35</v>
      </c>
      <c r="G592" s="8" t="s">
        <v>35</v>
      </c>
      <c r="H592" s="6">
        <v>1258.53</v>
      </c>
      <c r="I592" s="6">
        <v>1624.8899999999901</v>
      </c>
      <c r="J592" s="8" t="s">
        <v>30</v>
      </c>
      <c r="K592" s="12">
        <v>0.08</v>
      </c>
      <c r="L592" s="8" t="s">
        <v>31</v>
      </c>
      <c r="M592" s="8" t="s">
        <v>19</v>
      </c>
      <c r="N592" s="10" t="s">
        <v>43</v>
      </c>
      <c r="O592" s="17">
        <f xml:space="preserve"> (Tabla1[[#This Row],[Unit_Price]] - Tabla1[[#This Row],[Unit_Cost]] ) * Tabla1[[#This Row],[Quantity_Sold]]</f>
        <v>12822.599999999655</v>
      </c>
      <c r="P592" s="12">
        <f>Tabla1[[#This Row],[Profit]] / Tabla1[[#This Row],[Sales_Calculated]]</f>
        <v>0.22546757011243368</v>
      </c>
      <c r="Q592" s="20">
        <f xml:space="preserve"> Tabla1[[#This Row],[Unit_Price]] * Tabla1[[#This Row],[Quantity_Sold]]</f>
        <v>56871.149999999652</v>
      </c>
    </row>
    <row r="593" spans="1:17" x14ac:dyDescent="0.3">
      <c r="A593" s="2">
        <v>1064</v>
      </c>
      <c r="B593" s="1">
        <v>45103</v>
      </c>
      <c r="C593" s="8" t="s">
        <v>42</v>
      </c>
      <c r="D593" s="8" t="s">
        <v>15</v>
      </c>
      <c r="E593" s="6">
        <v>6201.37</v>
      </c>
      <c r="F593" s="2">
        <v>21</v>
      </c>
      <c r="G593" s="8" t="s">
        <v>29</v>
      </c>
      <c r="H593" s="6">
        <v>2278.04</v>
      </c>
      <c r="I593" s="6">
        <v>2598.58</v>
      </c>
      <c r="J593" s="8" t="s">
        <v>17</v>
      </c>
      <c r="K593" s="12">
        <v>0.02</v>
      </c>
      <c r="L593" s="8" t="s">
        <v>31</v>
      </c>
      <c r="M593" s="8" t="s">
        <v>22</v>
      </c>
      <c r="N593" s="10" t="s">
        <v>49</v>
      </c>
      <c r="O593" s="17">
        <f xml:space="preserve"> (Tabla1[[#This Row],[Unit_Price]] - Tabla1[[#This Row],[Unit_Cost]] ) * Tabla1[[#This Row],[Quantity_Sold]]</f>
        <v>6731.3399999999992</v>
      </c>
      <c r="P593" s="12">
        <f>Tabla1[[#This Row],[Profit]] / Tabla1[[#This Row],[Sales_Calculated]]</f>
        <v>0.12335198454540555</v>
      </c>
      <c r="Q593" s="20">
        <f xml:space="preserve"> Tabla1[[#This Row],[Unit_Price]] * Tabla1[[#This Row],[Quantity_Sold]]</f>
        <v>54570.18</v>
      </c>
    </row>
    <row r="594" spans="1:17" x14ac:dyDescent="0.3">
      <c r="A594" s="2">
        <v>1099</v>
      </c>
      <c r="B594" s="1">
        <v>44929</v>
      </c>
      <c r="C594" s="8" t="s">
        <v>14</v>
      </c>
      <c r="D594" s="8" t="s">
        <v>34</v>
      </c>
      <c r="E594" s="6">
        <v>5613.1</v>
      </c>
      <c r="F594" s="2">
        <v>31</v>
      </c>
      <c r="G594" s="8" t="s">
        <v>16</v>
      </c>
      <c r="H594" s="6">
        <v>4632.8500000000004</v>
      </c>
      <c r="I594" s="6">
        <v>4711.7</v>
      </c>
      <c r="J594" s="8" t="s">
        <v>30</v>
      </c>
      <c r="K594" s="12">
        <v>0.21</v>
      </c>
      <c r="L594" s="8" t="s">
        <v>18</v>
      </c>
      <c r="M594" s="8" t="s">
        <v>22</v>
      </c>
      <c r="N594" s="10" t="s">
        <v>46</v>
      </c>
      <c r="O594" s="17">
        <f xml:space="preserve"> (Tabla1[[#This Row],[Unit_Price]] - Tabla1[[#This Row],[Unit_Cost]] ) * Tabla1[[#This Row],[Quantity_Sold]]</f>
        <v>2444.3499999999831</v>
      </c>
      <c r="P594" s="12">
        <f>Tabla1[[#This Row],[Profit]] / Tabla1[[#This Row],[Sales_Calculated]]</f>
        <v>1.6734936434832325E-2</v>
      </c>
      <c r="Q594" s="20">
        <f xml:space="preserve"> Tabla1[[#This Row],[Unit_Price]] * Tabla1[[#This Row],[Quantity_Sold]]</f>
        <v>146062.69999999998</v>
      </c>
    </row>
    <row r="595" spans="1:17" x14ac:dyDescent="0.3">
      <c r="A595" s="2">
        <v>1049</v>
      </c>
      <c r="B595" s="1">
        <v>45068</v>
      </c>
      <c r="C595" s="8" t="s">
        <v>14</v>
      </c>
      <c r="D595" s="8" t="s">
        <v>34</v>
      </c>
      <c r="E595" s="6">
        <v>4216.17</v>
      </c>
      <c r="F595" s="2">
        <v>19</v>
      </c>
      <c r="G595" s="8" t="s">
        <v>29</v>
      </c>
      <c r="H595" s="6">
        <v>3316.97</v>
      </c>
      <c r="I595" s="6">
        <v>3544.02</v>
      </c>
      <c r="J595" s="8" t="s">
        <v>17</v>
      </c>
      <c r="K595" s="12">
        <v>0.14000000000000001</v>
      </c>
      <c r="L595" s="8" t="s">
        <v>18</v>
      </c>
      <c r="M595" s="8" t="s">
        <v>19</v>
      </c>
      <c r="N595" s="10" t="s">
        <v>46</v>
      </c>
      <c r="O595" s="17">
        <f xml:space="preserve"> (Tabla1[[#This Row],[Unit_Price]] - Tabla1[[#This Row],[Unit_Cost]] ) * Tabla1[[#This Row],[Quantity_Sold]]</f>
        <v>4313.9500000000035</v>
      </c>
      <c r="P595" s="12">
        <f>Tabla1[[#This Row],[Profit]] / Tabla1[[#This Row],[Sales_Calculated]]</f>
        <v>6.4065665543648218E-2</v>
      </c>
      <c r="Q595" s="20">
        <f xml:space="preserve"> Tabla1[[#This Row],[Unit_Price]] * Tabla1[[#This Row],[Quantity_Sold]]</f>
        <v>67336.38</v>
      </c>
    </row>
    <row r="596" spans="1:17" x14ac:dyDescent="0.3">
      <c r="A596" s="2">
        <v>1099</v>
      </c>
      <c r="B596" s="1">
        <v>45084</v>
      </c>
      <c r="C596" s="8" t="s">
        <v>33</v>
      </c>
      <c r="D596" s="8" t="s">
        <v>34</v>
      </c>
      <c r="E596" s="6">
        <v>4346.55</v>
      </c>
      <c r="F596" s="2">
        <v>31</v>
      </c>
      <c r="G596" s="8" t="s">
        <v>26</v>
      </c>
      <c r="H596" s="6">
        <v>1974.4</v>
      </c>
      <c r="I596" s="6">
        <v>2259.5</v>
      </c>
      <c r="J596" s="8" t="s">
        <v>30</v>
      </c>
      <c r="K596" s="12">
        <v>0.27</v>
      </c>
      <c r="L596" s="8" t="s">
        <v>18</v>
      </c>
      <c r="M596" s="8" t="s">
        <v>22</v>
      </c>
      <c r="N596" s="10" t="s">
        <v>36</v>
      </c>
      <c r="O596" s="17">
        <f xml:space="preserve"> (Tabla1[[#This Row],[Unit_Price]] - Tabla1[[#This Row],[Unit_Cost]] ) * Tabla1[[#This Row],[Quantity_Sold]]</f>
        <v>8838.0999999999967</v>
      </c>
      <c r="P596" s="12">
        <f>Tabla1[[#This Row],[Profit]] / Tabla1[[#This Row],[Sales_Calculated]]</f>
        <v>0.12617835804381497</v>
      </c>
      <c r="Q596" s="20">
        <f xml:space="preserve"> Tabla1[[#This Row],[Unit_Price]] * Tabla1[[#This Row],[Quantity_Sold]]</f>
        <v>70044.5</v>
      </c>
    </row>
    <row r="597" spans="1:17" x14ac:dyDescent="0.3">
      <c r="A597" s="2">
        <v>1036</v>
      </c>
      <c r="B597" s="1">
        <v>45250</v>
      </c>
      <c r="C597" s="8" t="s">
        <v>42</v>
      </c>
      <c r="D597" s="8" t="s">
        <v>34</v>
      </c>
      <c r="E597" s="6">
        <v>5454.96</v>
      </c>
      <c r="F597" s="2">
        <v>32</v>
      </c>
      <c r="G597" s="8" t="s">
        <v>29</v>
      </c>
      <c r="H597" s="6">
        <v>700.49</v>
      </c>
      <c r="I597" s="6">
        <v>1126.52</v>
      </c>
      <c r="J597" s="8" t="s">
        <v>30</v>
      </c>
      <c r="K597" s="12">
        <v>0.28999999999999998</v>
      </c>
      <c r="L597" s="8" t="s">
        <v>31</v>
      </c>
      <c r="M597" s="8" t="s">
        <v>22</v>
      </c>
      <c r="N597" s="10" t="s">
        <v>52</v>
      </c>
      <c r="O597" s="17">
        <f xml:space="preserve"> (Tabla1[[#This Row],[Unit_Price]] - Tabla1[[#This Row],[Unit_Cost]] ) * Tabla1[[#This Row],[Quantity_Sold]]</f>
        <v>13632.96</v>
      </c>
      <c r="P597" s="12">
        <f>Tabla1[[#This Row],[Profit]] / Tabla1[[#This Row],[Sales_Calculated]]</f>
        <v>0.37818236693534069</v>
      </c>
      <c r="Q597" s="20">
        <f xml:space="preserve"> Tabla1[[#This Row],[Unit_Price]] * Tabla1[[#This Row],[Quantity_Sold]]</f>
        <v>36048.639999999999</v>
      </c>
    </row>
    <row r="598" spans="1:17" x14ac:dyDescent="0.3">
      <c r="A598" s="2">
        <v>1082</v>
      </c>
      <c r="B598" s="1">
        <v>45072</v>
      </c>
      <c r="C598" s="8" t="s">
        <v>24</v>
      </c>
      <c r="D598" s="8" t="s">
        <v>25</v>
      </c>
      <c r="E598" s="6">
        <v>6994.66</v>
      </c>
      <c r="F598" s="2">
        <v>2</v>
      </c>
      <c r="G598" s="8" t="s">
        <v>16</v>
      </c>
      <c r="H598" s="6">
        <v>1349.3</v>
      </c>
      <c r="I598" s="6">
        <v>1576.69</v>
      </c>
      <c r="J598" s="8" t="s">
        <v>17</v>
      </c>
      <c r="K598" s="12">
        <v>0.12</v>
      </c>
      <c r="L598" s="8" t="s">
        <v>31</v>
      </c>
      <c r="M598" s="8" t="s">
        <v>19</v>
      </c>
      <c r="N598" s="10" t="s">
        <v>28</v>
      </c>
      <c r="O598" s="17">
        <f xml:space="preserve"> (Tabla1[[#This Row],[Unit_Price]] - Tabla1[[#This Row],[Unit_Cost]] ) * Tabla1[[#This Row],[Quantity_Sold]]</f>
        <v>454.7800000000002</v>
      </c>
      <c r="P598" s="12">
        <f>Tabla1[[#This Row],[Profit]] / Tabla1[[#This Row],[Sales_Calculated]]</f>
        <v>0.14421985298314829</v>
      </c>
      <c r="Q598" s="20">
        <f xml:space="preserve"> Tabla1[[#This Row],[Unit_Price]] * Tabla1[[#This Row],[Quantity_Sold]]</f>
        <v>3153.38</v>
      </c>
    </row>
    <row r="599" spans="1:17" x14ac:dyDescent="0.3">
      <c r="A599" s="2">
        <v>1096</v>
      </c>
      <c r="B599" s="1">
        <v>45219</v>
      </c>
      <c r="C599" s="8" t="s">
        <v>24</v>
      </c>
      <c r="D599" s="8" t="s">
        <v>25</v>
      </c>
      <c r="E599" s="6">
        <v>7051.25</v>
      </c>
      <c r="F599" s="2">
        <v>10</v>
      </c>
      <c r="G599" s="8" t="s">
        <v>29</v>
      </c>
      <c r="H599" s="6">
        <v>2927.02</v>
      </c>
      <c r="I599" s="6">
        <v>3387.21</v>
      </c>
      <c r="J599" s="8" t="s">
        <v>17</v>
      </c>
      <c r="K599" s="12">
        <v>0.12</v>
      </c>
      <c r="L599" s="8" t="s">
        <v>18</v>
      </c>
      <c r="M599" s="8" t="s">
        <v>22</v>
      </c>
      <c r="N599" s="10" t="s">
        <v>28</v>
      </c>
      <c r="O599" s="17">
        <f xml:space="preserve"> (Tabla1[[#This Row],[Unit_Price]] - Tabla1[[#This Row],[Unit_Cost]] ) * Tabla1[[#This Row],[Quantity_Sold]]</f>
        <v>4601.9000000000005</v>
      </c>
      <c r="P599" s="12">
        <f>Tabla1[[#This Row],[Profit]] / Tabla1[[#This Row],[Sales_Calculated]]</f>
        <v>0.13586107740588865</v>
      </c>
      <c r="Q599" s="20">
        <f xml:space="preserve"> Tabla1[[#This Row],[Unit_Price]] * Tabla1[[#This Row],[Quantity_Sold]]</f>
        <v>33872.1</v>
      </c>
    </row>
    <row r="600" spans="1:17" x14ac:dyDescent="0.3">
      <c r="A600" s="2">
        <v>1024</v>
      </c>
      <c r="B600" s="1">
        <v>45079</v>
      </c>
      <c r="C600" s="8" t="s">
        <v>42</v>
      </c>
      <c r="D600" s="8" t="s">
        <v>21</v>
      </c>
      <c r="E600" s="6">
        <v>1799.77</v>
      </c>
      <c r="F600" s="2">
        <v>2</v>
      </c>
      <c r="G600" s="8" t="s">
        <v>16</v>
      </c>
      <c r="H600" s="6">
        <v>3604.93</v>
      </c>
      <c r="I600" s="6">
        <v>3830.71</v>
      </c>
      <c r="J600" s="8" t="s">
        <v>17</v>
      </c>
      <c r="K600" s="12">
        <v>0.12</v>
      </c>
      <c r="L600" s="8" t="s">
        <v>31</v>
      </c>
      <c r="M600" s="8" t="s">
        <v>19</v>
      </c>
      <c r="N600" s="10" t="s">
        <v>51</v>
      </c>
      <c r="O600" s="17">
        <f xml:space="preserve"> (Tabla1[[#This Row],[Unit_Price]] - Tabla1[[#This Row],[Unit_Cost]] ) * Tabla1[[#This Row],[Quantity_Sold]]</f>
        <v>451.5600000000004</v>
      </c>
      <c r="P600" s="12">
        <f>Tabla1[[#This Row],[Profit]] / Tabla1[[#This Row],[Sales_Calculated]]</f>
        <v>5.8939465529888768E-2</v>
      </c>
      <c r="Q600" s="20">
        <f xml:space="preserve"> Tabla1[[#This Row],[Unit_Price]] * Tabla1[[#This Row],[Quantity_Sold]]</f>
        <v>7661.42</v>
      </c>
    </row>
    <row r="601" spans="1:17" x14ac:dyDescent="0.3">
      <c r="A601" s="2">
        <v>1023</v>
      </c>
      <c r="B601" s="1">
        <v>45119</v>
      </c>
      <c r="C601" s="8" t="s">
        <v>42</v>
      </c>
      <c r="D601" s="8" t="s">
        <v>15</v>
      </c>
      <c r="E601" s="6">
        <v>5051.12</v>
      </c>
      <c r="F601" s="2">
        <v>2</v>
      </c>
      <c r="G601" s="8" t="s">
        <v>26</v>
      </c>
      <c r="H601" s="6">
        <v>665.89</v>
      </c>
      <c r="I601" s="6">
        <v>944.79</v>
      </c>
      <c r="J601" s="8" t="s">
        <v>30</v>
      </c>
      <c r="K601" s="12">
        <v>0.1</v>
      </c>
      <c r="L601" s="8" t="s">
        <v>31</v>
      </c>
      <c r="M601" s="8" t="s">
        <v>22</v>
      </c>
      <c r="N601" s="10" t="s">
        <v>49</v>
      </c>
      <c r="O601" s="17">
        <f xml:space="preserve"> (Tabla1[[#This Row],[Unit_Price]] - Tabla1[[#This Row],[Unit_Cost]] ) * Tabla1[[#This Row],[Quantity_Sold]]</f>
        <v>557.79999999999995</v>
      </c>
      <c r="P601" s="12">
        <f>Tabla1[[#This Row],[Profit]] / Tabla1[[#This Row],[Sales_Calculated]]</f>
        <v>0.29519787465997732</v>
      </c>
      <c r="Q601" s="20">
        <f xml:space="preserve"> Tabla1[[#This Row],[Unit_Price]] * Tabla1[[#This Row],[Quantity_Sold]]</f>
        <v>1889.58</v>
      </c>
    </row>
    <row r="602" spans="1:17" x14ac:dyDescent="0.3">
      <c r="A602" s="2">
        <v>1062</v>
      </c>
      <c r="B602" s="1">
        <v>44999</v>
      </c>
      <c r="C602" s="8" t="s">
        <v>42</v>
      </c>
      <c r="D602" s="8" t="s">
        <v>34</v>
      </c>
      <c r="E602" s="6">
        <v>4178.3900000000003</v>
      </c>
      <c r="F602" s="2">
        <v>24</v>
      </c>
      <c r="G602" s="8" t="s">
        <v>26</v>
      </c>
      <c r="H602" s="6">
        <v>3018.01</v>
      </c>
      <c r="I602" s="6">
        <v>3418.19</v>
      </c>
      <c r="J602" s="8" t="s">
        <v>17</v>
      </c>
      <c r="K602" s="12">
        <v>0.23</v>
      </c>
      <c r="L602" s="8" t="s">
        <v>27</v>
      </c>
      <c r="M602" s="8" t="s">
        <v>22</v>
      </c>
      <c r="N602" s="10" t="s">
        <v>52</v>
      </c>
      <c r="O602" s="17">
        <f xml:space="preserve"> (Tabla1[[#This Row],[Unit_Price]] - Tabla1[[#This Row],[Unit_Cost]] ) * Tabla1[[#This Row],[Quantity_Sold]]</f>
        <v>9604.3199999999961</v>
      </c>
      <c r="P602" s="12">
        <f>Tabla1[[#This Row],[Profit]] / Tabla1[[#This Row],[Sales_Calculated]]</f>
        <v>0.11707365594071711</v>
      </c>
      <c r="Q602" s="20">
        <f xml:space="preserve"> Tabla1[[#This Row],[Unit_Price]] * Tabla1[[#This Row],[Quantity_Sold]]</f>
        <v>82036.56</v>
      </c>
    </row>
    <row r="603" spans="1:17" x14ac:dyDescent="0.3">
      <c r="A603" s="2">
        <v>1096</v>
      </c>
      <c r="B603" s="1">
        <v>45231</v>
      </c>
      <c r="C603" s="8" t="s">
        <v>14</v>
      </c>
      <c r="D603" s="8" t="s">
        <v>25</v>
      </c>
      <c r="E603" s="6">
        <v>8718.2199999999993</v>
      </c>
      <c r="F603" s="2">
        <v>17</v>
      </c>
      <c r="G603" s="8" t="s">
        <v>26</v>
      </c>
      <c r="H603" s="6">
        <v>2774.24</v>
      </c>
      <c r="I603" s="6">
        <v>3069.9399999999901</v>
      </c>
      <c r="J603" s="8" t="s">
        <v>17</v>
      </c>
      <c r="K603" s="12">
        <v>0.23</v>
      </c>
      <c r="L603" s="8" t="s">
        <v>27</v>
      </c>
      <c r="M603" s="8" t="s">
        <v>22</v>
      </c>
      <c r="N603" s="10" t="s">
        <v>32</v>
      </c>
      <c r="O603" s="17">
        <f xml:space="preserve"> (Tabla1[[#This Row],[Unit_Price]] - Tabla1[[#This Row],[Unit_Cost]] ) * Tabla1[[#This Row],[Quantity_Sold]]</f>
        <v>5026.8999999998341</v>
      </c>
      <c r="P603" s="12">
        <f>Tabla1[[#This Row],[Profit]] / Tabla1[[#This Row],[Sales_Calculated]]</f>
        <v>9.6321100738122306E-2</v>
      </c>
      <c r="Q603" s="20">
        <f xml:space="preserve"> Tabla1[[#This Row],[Unit_Price]] * Tabla1[[#This Row],[Quantity_Sold]]</f>
        <v>52188.979999999829</v>
      </c>
    </row>
    <row r="604" spans="1:17" x14ac:dyDescent="0.3">
      <c r="A604" s="2">
        <v>1037</v>
      </c>
      <c r="B604" s="1">
        <v>45270</v>
      </c>
      <c r="C604" s="8" t="s">
        <v>14</v>
      </c>
      <c r="D604" s="8" t="s">
        <v>15</v>
      </c>
      <c r="E604" s="6">
        <v>6351.05</v>
      </c>
      <c r="F604" s="2">
        <v>32</v>
      </c>
      <c r="G604" s="8" t="s">
        <v>35</v>
      </c>
      <c r="H604" s="6">
        <v>2594.08</v>
      </c>
      <c r="I604" s="6">
        <v>3074.59</v>
      </c>
      <c r="J604" s="8" t="s">
        <v>30</v>
      </c>
      <c r="K604" s="12">
        <v>0.14000000000000001</v>
      </c>
      <c r="L604" s="8" t="s">
        <v>18</v>
      </c>
      <c r="M604" s="8" t="s">
        <v>22</v>
      </c>
      <c r="N604" s="10" t="s">
        <v>20</v>
      </c>
      <c r="O604" s="17">
        <f xml:space="preserve"> (Tabla1[[#This Row],[Unit_Price]] - Tabla1[[#This Row],[Unit_Cost]] ) * Tabla1[[#This Row],[Quantity_Sold]]</f>
        <v>15376.320000000007</v>
      </c>
      <c r="P604" s="12">
        <f>Tabla1[[#This Row],[Profit]] / Tabla1[[#This Row],[Sales_Calculated]]</f>
        <v>0.15628425253448433</v>
      </c>
      <c r="Q604" s="20">
        <f xml:space="preserve"> Tabla1[[#This Row],[Unit_Price]] * Tabla1[[#This Row],[Quantity_Sold]]</f>
        <v>98386.880000000005</v>
      </c>
    </row>
    <row r="605" spans="1:17" x14ac:dyDescent="0.3">
      <c r="A605" s="2">
        <v>1012</v>
      </c>
      <c r="B605" s="1">
        <v>45066</v>
      </c>
      <c r="C605" s="8" t="s">
        <v>14</v>
      </c>
      <c r="D605" s="8" t="s">
        <v>15</v>
      </c>
      <c r="E605" s="6">
        <v>5371.79</v>
      </c>
      <c r="F605" s="2">
        <v>16</v>
      </c>
      <c r="G605" s="8" t="s">
        <v>26</v>
      </c>
      <c r="H605" s="6">
        <v>3466.11</v>
      </c>
      <c r="I605" s="6">
        <v>3799.67</v>
      </c>
      <c r="J605" s="8" t="s">
        <v>17</v>
      </c>
      <c r="K605" s="12">
        <v>0.01</v>
      </c>
      <c r="L605" s="8" t="s">
        <v>18</v>
      </c>
      <c r="M605" s="8" t="s">
        <v>22</v>
      </c>
      <c r="N605" s="10" t="s">
        <v>20</v>
      </c>
      <c r="O605" s="17">
        <f xml:space="preserve"> (Tabla1[[#This Row],[Unit_Price]] - Tabla1[[#This Row],[Unit_Cost]] ) * Tabla1[[#This Row],[Quantity_Sold]]</f>
        <v>5336.9599999999991</v>
      </c>
      <c r="P605" s="12">
        <f>Tabla1[[#This Row],[Profit]] / Tabla1[[#This Row],[Sales_Calculated]]</f>
        <v>8.7786570939055217E-2</v>
      </c>
      <c r="Q605" s="20">
        <f xml:space="preserve"> Tabla1[[#This Row],[Unit_Price]] * Tabla1[[#This Row],[Quantity_Sold]]</f>
        <v>60794.720000000001</v>
      </c>
    </row>
    <row r="606" spans="1:17" x14ac:dyDescent="0.3">
      <c r="A606" s="2">
        <v>1055</v>
      </c>
      <c r="B606" s="1">
        <v>45113</v>
      </c>
      <c r="C606" s="8" t="s">
        <v>38</v>
      </c>
      <c r="D606" s="8" t="s">
        <v>25</v>
      </c>
      <c r="E606" s="6">
        <v>1242.4100000000001</v>
      </c>
      <c r="F606" s="2">
        <v>16</v>
      </c>
      <c r="G606" s="8" t="s">
        <v>29</v>
      </c>
      <c r="H606" s="6">
        <v>4195.38</v>
      </c>
      <c r="I606" s="6">
        <v>4461.51</v>
      </c>
      <c r="J606" s="8" t="s">
        <v>17</v>
      </c>
      <c r="K606" s="12">
        <v>0.09</v>
      </c>
      <c r="L606" s="8" t="s">
        <v>27</v>
      </c>
      <c r="M606" s="8" t="s">
        <v>19</v>
      </c>
      <c r="N606" s="10" t="s">
        <v>39</v>
      </c>
      <c r="O606" s="17">
        <f xml:space="preserve"> (Tabla1[[#This Row],[Unit_Price]] - Tabla1[[#This Row],[Unit_Cost]] ) * Tabla1[[#This Row],[Quantity_Sold]]</f>
        <v>4258.0800000000017</v>
      </c>
      <c r="P606" s="12">
        <f>Tabla1[[#This Row],[Profit]] / Tabla1[[#This Row],[Sales_Calculated]]</f>
        <v>5.9650208113396608E-2</v>
      </c>
      <c r="Q606" s="20">
        <f xml:space="preserve"> Tabla1[[#This Row],[Unit_Price]] * Tabla1[[#This Row],[Quantity_Sold]]</f>
        <v>71384.160000000003</v>
      </c>
    </row>
    <row r="607" spans="1:17" x14ac:dyDescent="0.3">
      <c r="A607" s="2">
        <v>1013</v>
      </c>
      <c r="B607" s="1">
        <v>45219</v>
      </c>
      <c r="C607" s="8" t="s">
        <v>24</v>
      </c>
      <c r="D607" s="8" t="s">
        <v>34</v>
      </c>
      <c r="E607" s="6">
        <v>6095.82</v>
      </c>
      <c r="F607" s="2">
        <v>46</v>
      </c>
      <c r="G607" s="8" t="s">
        <v>35</v>
      </c>
      <c r="H607" s="6">
        <v>1648.8</v>
      </c>
      <c r="I607" s="6">
        <v>1670.36</v>
      </c>
      <c r="J607" s="8" t="s">
        <v>17</v>
      </c>
      <c r="K607" s="12">
        <v>0.09</v>
      </c>
      <c r="L607" s="8" t="s">
        <v>31</v>
      </c>
      <c r="M607" s="8" t="s">
        <v>22</v>
      </c>
      <c r="N607" s="10" t="s">
        <v>50</v>
      </c>
      <c r="O607" s="17">
        <f xml:space="preserve"> (Tabla1[[#This Row],[Unit_Price]] - Tabla1[[#This Row],[Unit_Cost]] ) * Tabla1[[#This Row],[Quantity_Sold]]</f>
        <v>991.75999999999749</v>
      </c>
      <c r="P607" s="12">
        <f>Tabla1[[#This Row],[Profit]] / Tabla1[[#This Row],[Sales_Calculated]]</f>
        <v>1.290739720778751E-2</v>
      </c>
      <c r="Q607" s="20">
        <f xml:space="preserve"> Tabla1[[#This Row],[Unit_Price]] * Tabla1[[#This Row],[Quantity_Sold]]</f>
        <v>76836.56</v>
      </c>
    </row>
    <row r="608" spans="1:17" x14ac:dyDescent="0.3">
      <c r="A608" s="2">
        <v>1023</v>
      </c>
      <c r="B608" s="1">
        <v>44987</v>
      </c>
      <c r="C608" s="8" t="s">
        <v>24</v>
      </c>
      <c r="D608" s="8" t="s">
        <v>21</v>
      </c>
      <c r="E608" s="6">
        <v>1260.32</v>
      </c>
      <c r="F608" s="2">
        <v>39</v>
      </c>
      <c r="G608" s="8" t="s">
        <v>26</v>
      </c>
      <c r="H608" s="6">
        <v>4450.6099999999997</v>
      </c>
      <c r="I608" s="6">
        <v>4663.3399999999901</v>
      </c>
      <c r="J608" s="8" t="s">
        <v>30</v>
      </c>
      <c r="K608" s="12">
        <v>0.24</v>
      </c>
      <c r="L608" s="8" t="s">
        <v>18</v>
      </c>
      <c r="M608" s="8" t="s">
        <v>22</v>
      </c>
      <c r="N608" s="10" t="s">
        <v>47</v>
      </c>
      <c r="O608" s="17">
        <f xml:space="preserve"> (Tabla1[[#This Row],[Unit_Price]] - Tabla1[[#This Row],[Unit_Cost]] ) * Tabla1[[#This Row],[Quantity_Sold]]</f>
        <v>8296.4699999996283</v>
      </c>
      <c r="P608" s="12">
        <f>Tabla1[[#This Row],[Profit]] / Tabla1[[#This Row],[Sales_Calculated]]</f>
        <v>4.5617518774095589E-2</v>
      </c>
      <c r="Q608" s="20">
        <f xml:space="preserve"> Tabla1[[#This Row],[Unit_Price]] * Tabla1[[#This Row],[Quantity_Sold]]</f>
        <v>181870.2599999996</v>
      </c>
    </row>
    <row r="609" spans="1:17" x14ac:dyDescent="0.3">
      <c r="A609" s="2">
        <v>1089</v>
      </c>
      <c r="B609" s="1">
        <v>45124</v>
      </c>
      <c r="C609" s="8" t="s">
        <v>33</v>
      </c>
      <c r="D609" s="8" t="s">
        <v>15</v>
      </c>
      <c r="E609" s="6">
        <v>3438.35</v>
      </c>
      <c r="F609" s="2">
        <v>31</v>
      </c>
      <c r="G609" s="8" t="s">
        <v>29</v>
      </c>
      <c r="H609" s="6">
        <v>845.14</v>
      </c>
      <c r="I609" s="6">
        <v>1001.77</v>
      </c>
      <c r="J609" s="8" t="s">
        <v>30</v>
      </c>
      <c r="K609" s="12">
        <v>0.03</v>
      </c>
      <c r="L609" s="8" t="s">
        <v>18</v>
      </c>
      <c r="M609" s="8" t="s">
        <v>19</v>
      </c>
      <c r="N609" s="10" t="s">
        <v>53</v>
      </c>
      <c r="O609" s="17">
        <f xml:space="preserve"> (Tabla1[[#This Row],[Unit_Price]] - Tabla1[[#This Row],[Unit_Cost]] ) * Tabla1[[#This Row],[Quantity_Sold]]</f>
        <v>4855.53</v>
      </c>
      <c r="P609" s="12">
        <f>Tabla1[[#This Row],[Profit]] / Tabla1[[#This Row],[Sales_Calculated]]</f>
        <v>0.15635325473911177</v>
      </c>
      <c r="Q609" s="20">
        <f xml:space="preserve"> Tabla1[[#This Row],[Unit_Price]] * Tabla1[[#This Row],[Quantity_Sold]]</f>
        <v>31054.87</v>
      </c>
    </row>
    <row r="610" spans="1:17" x14ac:dyDescent="0.3">
      <c r="A610" s="2">
        <v>1099</v>
      </c>
      <c r="B610" s="1">
        <v>45221</v>
      </c>
      <c r="C610" s="8" t="s">
        <v>14</v>
      </c>
      <c r="D610" s="8" t="s">
        <v>21</v>
      </c>
      <c r="E610" s="6">
        <v>1514.14</v>
      </c>
      <c r="F610" s="2">
        <v>43</v>
      </c>
      <c r="G610" s="8" t="s">
        <v>29</v>
      </c>
      <c r="H610" s="6">
        <v>906.47</v>
      </c>
      <c r="I610" s="6">
        <v>1283.04</v>
      </c>
      <c r="J610" s="8" t="s">
        <v>30</v>
      </c>
      <c r="K610" s="12">
        <v>0.24</v>
      </c>
      <c r="L610" s="8" t="s">
        <v>18</v>
      </c>
      <c r="M610" s="8" t="s">
        <v>19</v>
      </c>
      <c r="N610" s="10" t="s">
        <v>23</v>
      </c>
      <c r="O610" s="17">
        <f xml:space="preserve"> (Tabla1[[#This Row],[Unit_Price]] - Tabla1[[#This Row],[Unit_Cost]] ) * Tabla1[[#This Row],[Quantity_Sold]]</f>
        <v>16192.509999999997</v>
      </c>
      <c r="P610" s="12">
        <f>Tabla1[[#This Row],[Profit]] / Tabla1[[#This Row],[Sales_Calculated]]</f>
        <v>0.29349825414640224</v>
      </c>
      <c r="Q610" s="20">
        <f xml:space="preserve"> Tabla1[[#This Row],[Unit_Price]] * Tabla1[[#This Row],[Quantity_Sold]]</f>
        <v>55170.720000000001</v>
      </c>
    </row>
    <row r="611" spans="1:17" x14ac:dyDescent="0.3">
      <c r="A611" s="2">
        <v>1030</v>
      </c>
      <c r="B611" s="1">
        <v>45245</v>
      </c>
      <c r="C611" s="8" t="s">
        <v>38</v>
      </c>
      <c r="D611" s="8" t="s">
        <v>34</v>
      </c>
      <c r="E611" s="6">
        <v>6951.53</v>
      </c>
      <c r="F611" s="2">
        <v>24</v>
      </c>
      <c r="G611" s="8" t="s">
        <v>29</v>
      </c>
      <c r="H611" s="6">
        <v>1370.52</v>
      </c>
      <c r="I611" s="6">
        <v>1482.58</v>
      </c>
      <c r="J611" s="8" t="s">
        <v>17</v>
      </c>
      <c r="K611" s="12">
        <v>0.2</v>
      </c>
      <c r="L611" s="8" t="s">
        <v>31</v>
      </c>
      <c r="M611" s="8" t="s">
        <v>22</v>
      </c>
      <c r="N611" s="10" t="s">
        <v>48</v>
      </c>
      <c r="O611" s="17">
        <f xml:space="preserve"> (Tabla1[[#This Row],[Unit_Price]] - Tabla1[[#This Row],[Unit_Cost]] ) * Tabla1[[#This Row],[Quantity_Sold]]</f>
        <v>2689.4399999999987</v>
      </c>
      <c r="P611" s="12">
        <f>Tabla1[[#This Row],[Profit]] / Tabla1[[#This Row],[Sales_Calculated]]</f>
        <v>7.5584454127264597E-2</v>
      </c>
      <c r="Q611" s="20">
        <f xml:space="preserve"> Tabla1[[#This Row],[Unit_Price]] * Tabla1[[#This Row],[Quantity_Sold]]</f>
        <v>35581.919999999998</v>
      </c>
    </row>
    <row r="612" spans="1:17" x14ac:dyDescent="0.3">
      <c r="A612" s="2">
        <v>1017</v>
      </c>
      <c r="B612" s="1">
        <v>45228</v>
      </c>
      <c r="C612" s="8" t="s">
        <v>38</v>
      </c>
      <c r="D612" s="8" t="s">
        <v>34</v>
      </c>
      <c r="E612" s="6">
        <v>2141.9</v>
      </c>
      <c r="F612" s="2">
        <v>1</v>
      </c>
      <c r="G612" s="8" t="s">
        <v>16</v>
      </c>
      <c r="H612" s="6">
        <v>641.67999999999995</v>
      </c>
      <c r="I612" s="6">
        <v>752.24</v>
      </c>
      <c r="J612" s="8" t="s">
        <v>30</v>
      </c>
      <c r="K612" s="12">
        <v>0.22</v>
      </c>
      <c r="L612" s="8" t="s">
        <v>27</v>
      </c>
      <c r="M612" s="8" t="s">
        <v>19</v>
      </c>
      <c r="N612" s="10" t="s">
        <v>48</v>
      </c>
      <c r="O612" s="17">
        <f xml:space="preserve"> (Tabla1[[#This Row],[Unit_Price]] - Tabla1[[#This Row],[Unit_Cost]] ) * Tabla1[[#This Row],[Quantity_Sold]]</f>
        <v>110.56000000000006</v>
      </c>
      <c r="P612" s="12">
        <f>Tabla1[[#This Row],[Profit]] / Tabla1[[#This Row],[Sales_Calculated]]</f>
        <v>0.14697436988195264</v>
      </c>
      <c r="Q612" s="20">
        <f xml:space="preserve"> Tabla1[[#This Row],[Unit_Price]] * Tabla1[[#This Row],[Quantity_Sold]]</f>
        <v>752.24</v>
      </c>
    </row>
    <row r="613" spans="1:17" x14ac:dyDescent="0.3">
      <c r="A613" s="2">
        <v>1062</v>
      </c>
      <c r="B613" s="1">
        <v>45270</v>
      </c>
      <c r="C613" s="8" t="s">
        <v>24</v>
      </c>
      <c r="D613" s="8" t="s">
        <v>21</v>
      </c>
      <c r="E613" s="6">
        <v>3979.41</v>
      </c>
      <c r="F613" s="2">
        <v>11</v>
      </c>
      <c r="G613" s="8" t="s">
        <v>35</v>
      </c>
      <c r="H613" s="6">
        <v>1190.08</v>
      </c>
      <c r="I613" s="6">
        <v>1292.9399999999901</v>
      </c>
      <c r="J613" s="8" t="s">
        <v>17</v>
      </c>
      <c r="K613" s="12">
        <v>0.13</v>
      </c>
      <c r="L613" s="8" t="s">
        <v>18</v>
      </c>
      <c r="M613" s="8" t="s">
        <v>22</v>
      </c>
      <c r="N613" s="10" t="s">
        <v>47</v>
      </c>
      <c r="O613" s="17">
        <f xml:space="preserve"> (Tabla1[[#This Row],[Unit_Price]] - Tabla1[[#This Row],[Unit_Cost]] ) * Tabla1[[#This Row],[Quantity_Sold]]</f>
        <v>1131.4599999998914</v>
      </c>
      <c r="P613" s="12">
        <f>Tabla1[[#This Row],[Profit]] / Tabla1[[#This Row],[Sales_Calculated]]</f>
        <v>7.9555122434135317E-2</v>
      </c>
      <c r="Q613" s="20">
        <f xml:space="preserve"> Tabla1[[#This Row],[Unit_Price]] * Tabla1[[#This Row],[Quantity_Sold]]</f>
        <v>14222.339999999891</v>
      </c>
    </row>
    <row r="614" spans="1:17" x14ac:dyDescent="0.3">
      <c r="A614" s="2">
        <v>1084</v>
      </c>
      <c r="B614" s="1">
        <v>44937</v>
      </c>
      <c r="C614" s="8" t="s">
        <v>14</v>
      </c>
      <c r="D614" s="8" t="s">
        <v>34</v>
      </c>
      <c r="E614" s="6">
        <v>8967.18</v>
      </c>
      <c r="F614" s="2">
        <v>21</v>
      </c>
      <c r="G614" s="8" t="s">
        <v>29</v>
      </c>
      <c r="H614" s="6">
        <v>576.74</v>
      </c>
      <c r="I614" s="6">
        <v>648.29</v>
      </c>
      <c r="J614" s="8" t="s">
        <v>17</v>
      </c>
      <c r="K614" s="12">
        <v>0.2</v>
      </c>
      <c r="L614" s="8" t="s">
        <v>27</v>
      </c>
      <c r="M614" s="8" t="s">
        <v>19</v>
      </c>
      <c r="N614" s="10" t="s">
        <v>46</v>
      </c>
      <c r="O614" s="17">
        <f xml:space="preserve"> (Tabla1[[#This Row],[Unit_Price]] - Tabla1[[#This Row],[Unit_Cost]] ) * Tabla1[[#This Row],[Quantity_Sold]]</f>
        <v>1502.549999999999</v>
      </c>
      <c r="P614" s="12">
        <f>Tabla1[[#This Row],[Profit]] / Tabla1[[#This Row],[Sales_Calculated]]</f>
        <v>0.11036727390519668</v>
      </c>
      <c r="Q614" s="20">
        <f xml:space="preserve"> Tabla1[[#This Row],[Unit_Price]] * Tabla1[[#This Row],[Quantity_Sold]]</f>
        <v>13614.09</v>
      </c>
    </row>
    <row r="615" spans="1:17" x14ac:dyDescent="0.3">
      <c r="A615" s="2">
        <v>1089</v>
      </c>
      <c r="B615" s="1">
        <v>44988</v>
      </c>
      <c r="C615" s="8" t="s">
        <v>33</v>
      </c>
      <c r="D615" s="8" t="s">
        <v>15</v>
      </c>
      <c r="E615" s="6">
        <v>2122.73</v>
      </c>
      <c r="F615" s="2">
        <v>4</v>
      </c>
      <c r="G615" s="8" t="s">
        <v>16</v>
      </c>
      <c r="H615" s="6">
        <v>4117.67</v>
      </c>
      <c r="I615" s="6">
        <v>4280.0600000000004</v>
      </c>
      <c r="J615" s="8" t="s">
        <v>17</v>
      </c>
      <c r="K615" s="12">
        <v>0.18</v>
      </c>
      <c r="L615" s="8" t="s">
        <v>27</v>
      </c>
      <c r="M615" s="8" t="s">
        <v>19</v>
      </c>
      <c r="N615" s="10" t="s">
        <v>53</v>
      </c>
      <c r="O615" s="17">
        <f xml:space="preserve"> (Tabla1[[#This Row],[Unit_Price]] - Tabla1[[#This Row],[Unit_Cost]] ) * Tabla1[[#This Row],[Quantity_Sold]]</f>
        <v>649.56000000000131</v>
      </c>
      <c r="P615" s="12">
        <f>Tabla1[[#This Row],[Profit]] / Tabla1[[#This Row],[Sales_Calculated]]</f>
        <v>3.7941056901071551E-2</v>
      </c>
      <c r="Q615" s="20">
        <f xml:space="preserve"> Tabla1[[#This Row],[Unit_Price]] * Tabla1[[#This Row],[Quantity_Sold]]</f>
        <v>17120.240000000002</v>
      </c>
    </row>
    <row r="616" spans="1:17" x14ac:dyDescent="0.3">
      <c r="A616" s="2">
        <v>1086</v>
      </c>
      <c r="B616" s="1">
        <v>45259</v>
      </c>
      <c r="C616" s="8" t="s">
        <v>14</v>
      </c>
      <c r="D616" s="8" t="s">
        <v>21</v>
      </c>
      <c r="E616" s="6">
        <v>5127.2700000000004</v>
      </c>
      <c r="F616" s="2">
        <v>7</v>
      </c>
      <c r="G616" s="8" t="s">
        <v>26</v>
      </c>
      <c r="H616" s="6">
        <v>737.9</v>
      </c>
      <c r="I616" s="6">
        <v>1182</v>
      </c>
      <c r="J616" s="8" t="s">
        <v>30</v>
      </c>
      <c r="K616" s="12">
        <v>0.23</v>
      </c>
      <c r="L616" s="8" t="s">
        <v>31</v>
      </c>
      <c r="M616" s="8" t="s">
        <v>22</v>
      </c>
      <c r="N616" s="10" t="s">
        <v>23</v>
      </c>
      <c r="O616" s="17">
        <f xml:space="preserve"> (Tabla1[[#This Row],[Unit_Price]] - Tabla1[[#This Row],[Unit_Cost]] ) * Tabla1[[#This Row],[Quantity_Sold]]</f>
        <v>3108.7000000000003</v>
      </c>
      <c r="P616" s="12">
        <f>Tabla1[[#This Row],[Profit]] / Tabla1[[#This Row],[Sales_Calculated]]</f>
        <v>0.37571912013536385</v>
      </c>
      <c r="Q616" s="20">
        <f xml:space="preserve"> Tabla1[[#This Row],[Unit_Price]] * Tabla1[[#This Row],[Quantity_Sold]]</f>
        <v>8274</v>
      </c>
    </row>
    <row r="617" spans="1:17" x14ac:dyDescent="0.3">
      <c r="A617" s="2">
        <v>1013</v>
      </c>
      <c r="B617" s="1">
        <v>45152</v>
      </c>
      <c r="C617" s="8" t="s">
        <v>42</v>
      </c>
      <c r="D617" s="8" t="s">
        <v>34</v>
      </c>
      <c r="E617" s="6">
        <v>4250.79</v>
      </c>
      <c r="F617" s="2">
        <v>26</v>
      </c>
      <c r="G617" s="8" t="s">
        <v>29</v>
      </c>
      <c r="H617" s="6">
        <v>3749.12</v>
      </c>
      <c r="I617" s="6">
        <v>4138.83</v>
      </c>
      <c r="J617" s="8" t="s">
        <v>30</v>
      </c>
      <c r="K617" s="12">
        <v>0.13</v>
      </c>
      <c r="L617" s="8" t="s">
        <v>31</v>
      </c>
      <c r="M617" s="8" t="s">
        <v>19</v>
      </c>
      <c r="N617" s="10" t="s">
        <v>52</v>
      </c>
      <c r="O617" s="17">
        <f xml:space="preserve"> (Tabla1[[#This Row],[Unit_Price]] - Tabla1[[#This Row],[Unit_Cost]] ) * Tabla1[[#This Row],[Quantity_Sold]]</f>
        <v>10132.460000000001</v>
      </c>
      <c r="P617" s="12">
        <f>Tabla1[[#This Row],[Profit]] / Tabla1[[#This Row],[Sales_Calculated]]</f>
        <v>9.4159460523867866E-2</v>
      </c>
      <c r="Q617" s="20">
        <f xml:space="preserve"> Tabla1[[#This Row],[Unit_Price]] * Tabla1[[#This Row],[Quantity_Sold]]</f>
        <v>107609.58</v>
      </c>
    </row>
    <row r="618" spans="1:17" x14ac:dyDescent="0.3">
      <c r="A618" s="2">
        <v>1059</v>
      </c>
      <c r="B618" s="1">
        <v>45079</v>
      </c>
      <c r="C618" s="8" t="s">
        <v>14</v>
      </c>
      <c r="D618" s="8" t="s">
        <v>21</v>
      </c>
      <c r="E618" s="6">
        <v>279.43</v>
      </c>
      <c r="F618" s="2">
        <v>47</v>
      </c>
      <c r="G618" s="8" t="s">
        <v>16</v>
      </c>
      <c r="H618" s="6">
        <v>287.17</v>
      </c>
      <c r="I618" s="6">
        <v>657.44</v>
      </c>
      <c r="J618" s="8" t="s">
        <v>17</v>
      </c>
      <c r="K618" s="12">
        <v>0.14000000000000001</v>
      </c>
      <c r="L618" s="8" t="s">
        <v>31</v>
      </c>
      <c r="M618" s="8" t="s">
        <v>22</v>
      </c>
      <c r="N618" s="10" t="s">
        <v>23</v>
      </c>
      <c r="O618" s="17">
        <f xml:space="preserve"> (Tabla1[[#This Row],[Unit_Price]] - Tabla1[[#This Row],[Unit_Cost]] ) * Tabla1[[#This Row],[Quantity_Sold]]</f>
        <v>17402.690000000002</v>
      </c>
      <c r="P618" s="12">
        <f>Tabla1[[#This Row],[Profit]] / Tabla1[[#This Row],[Sales_Calculated]]</f>
        <v>0.56319968362131911</v>
      </c>
      <c r="Q618" s="20">
        <f xml:space="preserve"> Tabla1[[#This Row],[Unit_Price]] * Tabla1[[#This Row],[Quantity_Sold]]</f>
        <v>30899.680000000004</v>
      </c>
    </row>
    <row r="619" spans="1:17" x14ac:dyDescent="0.3">
      <c r="A619" s="2">
        <v>1019</v>
      </c>
      <c r="B619" s="1">
        <v>45125</v>
      </c>
      <c r="C619" s="8" t="s">
        <v>42</v>
      </c>
      <c r="D619" s="8" t="s">
        <v>15</v>
      </c>
      <c r="E619" s="6">
        <v>7948.31</v>
      </c>
      <c r="F619" s="2">
        <v>12</v>
      </c>
      <c r="G619" s="8" t="s">
        <v>29</v>
      </c>
      <c r="H619" s="6">
        <v>4745.18</v>
      </c>
      <c r="I619" s="6">
        <v>5145.88</v>
      </c>
      <c r="J619" s="8" t="s">
        <v>17</v>
      </c>
      <c r="K619" s="12">
        <v>0.19</v>
      </c>
      <c r="L619" s="8" t="s">
        <v>31</v>
      </c>
      <c r="M619" s="8" t="s">
        <v>19</v>
      </c>
      <c r="N619" s="10" t="s">
        <v>49</v>
      </c>
      <c r="O619" s="17">
        <f xml:space="preserve"> (Tabla1[[#This Row],[Unit_Price]] - Tabla1[[#This Row],[Unit_Cost]] ) * Tabla1[[#This Row],[Quantity_Sold]]</f>
        <v>4808.3999999999978</v>
      </c>
      <c r="P619" s="12">
        <f>Tabla1[[#This Row],[Profit]] / Tabla1[[#This Row],[Sales_Calculated]]</f>
        <v>7.7868119738509226E-2</v>
      </c>
      <c r="Q619" s="20">
        <f xml:space="preserve"> Tabla1[[#This Row],[Unit_Price]] * Tabla1[[#This Row],[Quantity_Sold]]</f>
        <v>61750.559999999998</v>
      </c>
    </row>
    <row r="620" spans="1:17" x14ac:dyDescent="0.3">
      <c r="A620" s="2">
        <v>1049</v>
      </c>
      <c r="B620" s="1">
        <v>44978</v>
      </c>
      <c r="C620" s="8" t="s">
        <v>42</v>
      </c>
      <c r="D620" s="8" t="s">
        <v>34</v>
      </c>
      <c r="E620" s="6">
        <v>783.55</v>
      </c>
      <c r="F620" s="2">
        <v>31</v>
      </c>
      <c r="G620" s="8" t="s">
        <v>35</v>
      </c>
      <c r="H620" s="6">
        <v>3570.24</v>
      </c>
      <c r="I620" s="6">
        <v>3712.25</v>
      </c>
      <c r="J620" s="8" t="s">
        <v>30</v>
      </c>
      <c r="K620" s="12">
        <v>0.03</v>
      </c>
      <c r="L620" s="8" t="s">
        <v>31</v>
      </c>
      <c r="M620" s="8" t="s">
        <v>19</v>
      </c>
      <c r="N620" s="10" t="s">
        <v>52</v>
      </c>
      <c r="O620" s="17">
        <f xml:space="preserve"> (Tabla1[[#This Row],[Unit_Price]] - Tabla1[[#This Row],[Unit_Cost]] ) * Tabla1[[#This Row],[Quantity_Sold]]</f>
        <v>4402.3100000000068</v>
      </c>
      <c r="P620" s="12">
        <f>Tabla1[[#This Row],[Profit]] / Tabla1[[#This Row],[Sales_Calculated]]</f>
        <v>3.8254427907603264E-2</v>
      </c>
      <c r="Q620" s="20">
        <f xml:space="preserve"> Tabla1[[#This Row],[Unit_Price]] * Tabla1[[#This Row],[Quantity_Sold]]</f>
        <v>115079.75</v>
      </c>
    </row>
    <row r="621" spans="1:17" x14ac:dyDescent="0.3">
      <c r="A621" s="2">
        <v>1100</v>
      </c>
      <c r="B621" s="1">
        <v>45186</v>
      </c>
      <c r="C621" s="8" t="s">
        <v>33</v>
      </c>
      <c r="D621" s="8" t="s">
        <v>15</v>
      </c>
      <c r="E621" s="6">
        <v>4795.12</v>
      </c>
      <c r="F621" s="2">
        <v>17</v>
      </c>
      <c r="G621" s="8" t="s">
        <v>35</v>
      </c>
      <c r="H621" s="6">
        <v>83.64</v>
      </c>
      <c r="I621" s="6">
        <v>528.49</v>
      </c>
      <c r="J621" s="8" t="s">
        <v>30</v>
      </c>
      <c r="K621" s="12">
        <v>0.13</v>
      </c>
      <c r="L621" s="8" t="s">
        <v>31</v>
      </c>
      <c r="M621" s="8" t="s">
        <v>19</v>
      </c>
      <c r="N621" s="10" t="s">
        <v>53</v>
      </c>
      <c r="O621" s="17">
        <f xml:space="preserve"> (Tabla1[[#This Row],[Unit_Price]] - Tabla1[[#This Row],[Unit_Cost]] ) * Tabla1[[#This Row],[Quantity_Sold]]</f>
        <v>7562.4500000000007</v>
      </c>
      <c r="P621" s="12">
        <f>Tabla1[[#This Row],[Profit]] / Tabla1[[#This Row],[Sales_Calculated]]</f>
        <v>0.84173778122575649</v>
      </c>
      <c r="Q621" s="20">
        <f xml:space="preserve"> Tabla1[[#This Row],[Unit_Price]] * Tabla1[[#This Row],[Quantity_Sold]]</f>
        <v>8984.33</v>
      </c>
    </row>
    <row r="622" spans="1:17" x14ac:dyDescent="0.3">
      <c r="A622" s="2">
        <v>1012</v>
      </c>
      <c r="B622" s="1">
        <v>44985</v>
      </c>
      <c r="C622" s="8" t="s">
        <v>24</v>
      </c>
      <c r="D622" s="8" t="s">
        <v>34</v>
      </c>
      <c r="E622" s="6">
        <v>5650.72</v>
      </c>
      <c r="F622" s="2">
        <v>33</v>
      </c>
      <c r="G622" s="8" t="s">
        <v>26</v>
      </c>
      <c r="H622" s="6">
        <v>3831.09</v>
      </c>
      <c r="I622" s="6">
        <v>3908.37</v>
      </c>
      <c r="J622" s="8" t="s">
        <v>30</v>
      </c>
      <c r="K622" s="12">
        <v>0.28999999999999998</v>
      </c>
      <c r="L622" s="8" t="s">
        <v>18</v>
      </c>
      <c r="M622" s="8" t="s">
        <v>22</v>
      </c>
      <c r="N622" s="10" t="s">
        <v>50</v>
      </c>
      <c r="O622" s="17">
        <f xml:space="preserve"> (Tabla1[[#This Row],[Unit_Price]] - Tabla1[[#This Row],[Unit_Cost]] ) * Tabla1[[#This Row],[Quantity_Sold]]</f>
        <v>2550.2399999999916</v>
      </c>
      <c r="P622" s="12">
        <f>Tabla1[[#This Row],[Profit]] / Tabla1[[#This Row],[Sales_Calculated]]</f>
        <v>1.9772948825213518E-2</v>
      </c>
      <c r="Q622" s="20">
        <f xml:space="preserve"> Tabla1[[#This Row],[Unit_Price]] * Tabla1[[#This Row],[Quantity_Sold]]</f>
        <v>128976.20999999999</v>
      </c>
    </row>
    <row r="623" spans="1:17" x14ac:dyDescent="0.3">
      <c r="A623" s="2">
        <v>1061</v>
      </c>
      <c r="B623" s="1">
        <v>44998</v>
      </c>
      <c r="C623" s="8" t="s">
        <v>14</v>
      </c>
      <c r="D623" s="8" t="s">
        <v>25</v>
      </c>
      <c r="E623" s="6">
        <v>6321.42</v>
      </c>
      <c r="F623" s="2">
        <v>11</v>
      </c>
      <c r="G623" s="8" t="s">
        <v>29</v>
      </c>
      <c r="H623" s="6">
        <v>2594.71</v>
      </c>
      <c r="I623" s="6">
        <v>2769.52</v>
      </c>
      <c r="J623" s="8" t="s">
        <v>17</v>
      </c>
      <c r="K623" s="12">
        <v>0.01</v>
      </c>
      <c r="L623" s="8" t="s">
        <v>27</v>
      </c>
      <c r="M623" s="8" t="s">
        <v>22</v>
      </c>
      <c r="N623" s="10" t="s">
        <v>32</v>
      </c>
      <c r="O623" s="17">
        <f xml:space="preserve"> (Tabla1[[#This Row],[Unit_Price]] - Tabla1[[#This Row],[Unit_Cost]] ) * Tabla1[[#This Row],[Quantity_Sold]]</f>
        <v>1922.9099999999994</v>
      </c>
      <c r="P623" s="12">
        <f>Tabla1[[#This Row],[Profit]] / Tabla1[[#This Row],[Sales_Calculated]]</f>
        <v>6.3119240879285915E-2</v>
      </c>
      <c r="Q623" s="20">
        <f xml:space="preserve"> Tabla1[[#This Row],[Unit_Price]] * Tabla1[[#This Row],[Quantity_Sold]]</f>
        <v>30464.720000000001</v>
      </c>
    </row>
    <row r="624" spans="1:17" x14ac:dyDescent="0.3">
      <c r="A624" s="2">
        <v>1019</v>
      </c>
      <c r="B624" s="1">
        <v>45074</v>
      </c>
      <c r="C624" s="8" t="s">
        <v>42</v>
      </c>
      <c r="D624" s="8" t="s">
        <v>34</v>
      </c>
      <c r="E624" s="6">
        <v>6917.45</v>
      </c>
      <c r="F624" s="2">
        <v>28</v>
      </c>
      <c r="G624" s="8" t="s">
        <v>16</v>
      </c>
      <c r="H624" s="6">
        <v>3907.86</v>
      </c>
      <c r="I624" s="6">
        <v>4205.37</v>
      </c>
      <c r="J624" s="8" t="s">
        <v>30</v>
      </c>
      <c r="K624" s="12">
        <v>0.09</v>
      </c>
      <c r="L624" s="8" t="s">
        <v>31</v>
      </c>
      <c r="M624" s="8" t="s">
        <v>19</v>
      </c>
      <c r="N624" s="10" t="s">
        <v>52</v>
      </c>
      <c r="O624" s="17">
        <f xml:space="preserve"> (Tabla1[[#This Row],[Unit_Price]] - Tabla1[[#This Row],[Unit_Cost]] ) * Tabla1[[#This Row],[Quantity_Sold]]</f>
        <v>8330.2799999999934</v>
      </c>
      <c r="P624" s="12">
        <f>Tabla1[[#This Row],[Profit]] / Tabla1[[#This Row],[Sales_Calculated]]</f>
        <v>7.0745261415761221E-2</v>
      </c>
      <c r="Q624" s="20">
        <f xml:space="preserve"> Tabla1[[#This Row],[Unit_Price]] * Tabla1[[#This Row],[Quantity_Sold]]</f>
        <v>117750.36</v>
      </c>
    </row>
    <row r="625" spans="1:17" x14ac:dyDescent="0.3">
      <c r="A625" s="2">
        <v>1076</v>
      </c>
      <c r="B625" s="1">
        <v>45275</v>
      </c>
      <c r="C625" s="8" t="s">
        <v>14</v>
      </c>
      <c r="D625" s="8" t="s">
        <v>21</v>
      </c>
      <c r="E625" s="6">
        <v>2607.4</v>
      </c>
      <c r="F625" s="2">
        <v>32</v>
      </c>
      <c r="G625" s="8" t="s">
        <v>26</v>
      </c>
      <c r="H625" s="6">
        <v>2636.36</v>
      </c>
      <c r="I625" s="6">
        <v>2696.78</v>
      </c>
      <c r="J625" s="8" t="s">
        <v>30</v>
      </c>
      <c r="K625" s="12">
        <v>0.09</v>
      </c>
      <c r="L625" s="8" t="s">
        <v>18</v>
      </c>
      <c r="M625" s="8" t="s">
        <v>22</v>
      </c>
      <c r="N625" s="10" t="s">
        <v>23</v>
      </c>
      <c r="O625" s="17">
        <f xml:space="preserve"> (Tabla1[[#This Row],[Unit_Price]] - Tabla1[[#This Row],[Unit_Cost]] ) * Tabla1[[#This Row],[Quantity_Sold]]</f>
        <v>1933.4400000000023</v>
      </c>
      <c r="P625" s="12">
        <f>Tabla1[[#This Row],[Profit]] / Tabla1[[#This Row],[Sales_Calculated]]</f>
        <v>2.2404497215197407E-2</v>
      </c>
      <c r="Q625" s="20">
        <f xml:space="preserve"> Tabla1[[#This Row],[Unit_Price]] * Tabla1[[#This Row],[Quantity_Sold]]</f>
        <v>86296.960000000006</v>
      </c>
    </row>
    <row r="626" spans="1:17" x14ac:dyDescent="0.3">
      <c r="A626" s="2">
        <v>1009</v>
      </c>
      <c r="B626" s="1">
        <v>44989</v>
      </c>
      <c r="C626" s="8" t="s">
        <v>24</v>
      </c>
      <c r="D626" s="8" t="s">
        <v>34</v>
      </c>
      <c r="E626" s="6">
        <v>198.79</v>
      </c>
      <c r="F626" s="2">
        <v>1</v>
      </c>
      <c r="G626" s="8" t="s">
        <v>29</v>
      </c>
      <c r="H626" s="6">
        <v>3223.07</v>
      </c>
      <c r="I626" s="6">
        <v>3590.83</v>
      </c>
      <c r="J626" s="8" t="s">
        <v>30</v>
      </c>
      <c r="K626" s="12">
        <v>0.19</v>
      </c>
      <c r="L626" s="8" t="s">
        <v>27</v>
      </c>
      <c r="M626" s="8" t="s">
        <v>22</v>
      </c>
      <c r="N626" s="10" t="s">
        <v>50</v>
      </c>
      <c r="O626" s="17">
        <f xml:space="preserve"> (Tabla1[[#This Row],[Unit_Price]] - Tabla1[[#This Row],[Unit_Cost]] ) * Tabla1[[#This Row],[Quantity_Sold]]</f>
        <v>367.75999999999976</v>
      </c>
      <c r="P626" s="12">
        <f>Tabla1[[#This Row],[Profit]] / Tabla1[[#This Row],[Sales_Calculated]]</f>
        <v>0.10241643296953623</v>
      </c>
      <c r="Q626" s="20">
        <f xml:space="preserve"> Tabla1[[#This Row],[Unit_Price]] * Tabla1[[#This Row],[Quantity_Sold]]</f>
        <v>3590.83</v>
      </c>
    </row>
    <row r="627" spans="1:17" x14ac:dyDescent="0.3">
      <c r="A627" s="2">
        <v>1071</v>
      </c>
      <c r="B627" s="1">
        <v>45236</v>
      </c>
      <c r="C627" s="8" t="s">
        <v>24</v>
      </c>
      <c r="D627" s="8" t="s">
        <v>15</v>
      </c>
      <c r="E627" s="6">
        <v>7262.09</v>
      </c>
      <c r="F627" s="2">
        <v>47</v>
      </c>
      <c r="G627" s="8" t="s">
        <v>26</v>
      </c>
      <c r="H627" s="6">
        <v>3942.34</v>
      </c>
      <c r="I627" s="6">
        <v>4142.09</v>
      </c>
      <c r="J627" s="8" t="s">
        <v>17</v>
      </c>
      <c r="K627" s="12">
        <v>0.03</v>
      </c>
      <c r="L627" s="8" t="s">
        <v>31</v>
      </c>
      <c r="M627" s="8" t="s">
        <v>22</v>
      </c>
      <c r="N627" s="10" t="s">
        <v>45</v>
      </c>
      <c r="O627" s="17">
        <f xml:space="preserve"> (Tabla1[[#This Row],[Unit_Price]] - Tabla1[[#This Row],[Unit_Cost]] ) * Tabla1[[#This Row],[Quantity_Sold]]</f>
        <v>9388.25</v>
      </c>
      <c r="P627" s="12">
        <f>Tabla1[[#This Row],[Profit]] / Tabla1[[#This Row],[Sales_Calculated]]</f>
        <v>4.8224447078648702E-2</v>
      </c>
      <c r="Q627" s="20">
        <f xml:space="preserve"> Tabla1[[#This Row],[Unit_Price]] * Tabla1[[#This Row],[Quantity_Sold]]</f>
        <v>194678.23</v>
      </c>
    </row>
    <row r="628" spans="1:17" x14ac:dyDescent="0.3">
      <c r="A628" s="2">
        <v>1028</v>
      </c>
      <c r="B628" s="1">
        <v>45169</v>
      </c>
      <c r="C628" s="8" t="s">
        <v>38</v>
      </c>
      <c r="D628" s="8" t="s">
        <v>15</v>
      </c>
      <c r="E628" s="6">
        <v>5403</v>
      </c>
      <c r="F628" s="2">
        <v>28</v>
      </c>
      <c r="G628" s="8" t="s">
        <v>16</v>
      </c>
      <c r="H628" s="6">
        <v>2055.2800000000002</v>
      </c>
      <c r="I628" s="6">
        <v>2449.64</v>
      </c>
      <c r="J628" s="8" t="s">
        <v>30</v>
      </c>
      <c r="K628" s="12">
        <v>0.19</v>
      </c>
      <c r="L628" s="8" t="s">
        <v>31</v>
      </c>
      <c r="M628" s="8" t="s">
        <v>19</v>
      </c>
      <c r="N628" s="10" t="s">
        <v>40</v>
      </c>
      <c r="O628" s="17">
        <f xml:space="preserve"> (Tabla1[[#This Row],[Unit_Price]] - Tabla1[[#This Row],[Unit_Cost]] ) * Tabla1[[#This Row],[Quantity_Sold]]</f>
        <v>11042.079999999991</v>
      </c>
      <c r="P628" s="12">
        <f>Tabla1[[#This Row],[Profit]] / Tabla1[[#This Row],[Sales_Calculated]]</f>
        <v>0.16098692052709773</v>
      </c>
      <c r="Q628" s="20">
        <f xml:space="preserve"> Tabla1[[#This Row],[Unit_Price]] * Tabla1[[#This Row],[Quantity_Sold]]</f>
        <v>68589.919999999998</v>
      </c>
    </row>
    <row r="629" spans="1:17" x14ac:dyDescent="0.3">
      <c r="A629" s="2">
        <v>1078</v>
      </c>
      <c r="B629" s="1">
        <v>45292</v>
      </c>
      <c r="C629" s="8" t="s">
        <v>24</v>
      </c>
      <c r="D629" s="8" t="s">
        <v>34</v>
      </c>
      <c r="E629" s="6">
        <v>8377.57</v>
      </c>
      <c r="F629" s="2">
        <v>42</v>
      </c>
      <c r="G629" s="8" t="s">
        <v>26</v>
      </c>
      <c r="H629" s="6">
        <v>63.41</v>
      </c>
      <c r="I629" s="6">
        <v>314.93</v>
      </c>
      <c r="J629" s="8" t="s">
        <v>17</v>
      </c>
      <c r="K629" s="12">
        <v>0.03</v>
      </c>
      <c r="L629" s="8" t="s">
        <v>18</v>
      </c>
      <c r="M629" s="8" t="s">
        <v>22</v>
      </c>
      <c r="N629" s="10" t="s">
        <v>50</v>
      </c>
      <c r="O629" s="17">
        <f xml:space="preserve"> (Tabla1[[#This Row],[Unit_Price]] - Tabla1[[#This Row],[Unit_Cost]] ) * Tabla1[[#This Row],[Quantity_Sold]]</f>
        <v>10563.84</v>
      </c>
      <c r="P629" s="12">
        <f>Tabla1[[#This Row],[Profit]] / Tabla1[[#This Row],[Sales_Calculated]]</f>
        <v>0.79865366906931701</v>
      </c>
      <c r="Q629" s="20">
        <f xml:space="preserve"> Tabla1[[#This Row],[Unit_Price]] * Tabla1[[#This Row],[Quantity_Sold]]</f>
        <v>13227.06</v>
      </c>
    </row>
    <row r="630" spans="1:17" x14ac:dyDescent="0.3">
      <c r="A630" s="2">
        <v>1095</v>
      </c>
      <c r="B630" s="1">
        <v>45256</v>
      </c>
      <c r="C630" s="8" t="s">
        <v>33</v>
      </c>
      <c r="D630" s="8" t="s">
        <v>21</v>
      </c>
      <c r="E630" s="6">
        <v>8231.74</v>
      </c>
      <c r="F630" s="2">
        <v>7</v>
      </c>
      <c r="G630" s="8" t="s">
        <v>26</v>
      </c>
      <c r="H630" s="6">
        <v>4257.24</v>
      </c>
      <c r="I630" s="6">
        <v>4355.87</v>
      </c>
      <c r="J630" s="8" t="s">
        <v>17</v>
      </c>
      <c r="K630" s="12">
        <v>0.03</v>
      </c>
      <c r="L630" s="8" t="s">
        <v>27</v>
      </c>
      <c r="M630" s="8" t="s">
        <v>19</v>
      </c>
      <c r="N630" s="10" t="s">
        <v>37</v>
      </c>
      <c r="O630" s="17">
        <f xml:space="preserve"> (Tabla1[[#This Row],[Unit_Price]] - Tabla1[[#This Row],[Unit_Cost]] ) * Tabla1[[#This Row],[Quantity_Sold]]</f>
        <v>690.41000000000076</v>
      </c>
      <c r="P630" s="12">
        <f>Tabla1[[#This Row],[Profit]] / Tabla1[[#This Row],[Sales_Calculated]]</f>
        <v>2.264300817058363E-2</v>
      </c>
      <c r="Q630" s="20">
        <f xml:space="preserve"> Tabla1[[#This Row],[Unit_Price]] * Tabla1[[#This Row],[Quantity_Sold]]</f>
        <v>30491.09</v>
      </c>
    </row>
    <row r="631" spans="1:17" x14ac:dyDescent="0.3">
      <c r="A631" s="2">
        <v>1052</v>
      </c>
      <c r="B631" s="1">
        <v>45033</v>
      </c>
      <c r="C631" s="8" t="s">
        <v>42</v>
      </c>
      <c r="D631" s="8" t="s">
        <v>25</v>
      </c>
      <c r="E631" s="6">
        <v>8448.93</v>
      </c>
      <c r="F631" s="2">
        <v>2</v>
      </c>
      <c r="G631" s="8" t="s">
        <v>26</v>
      </c>
      <c r="H631" s="6">
        <v>1935.41</v>
      </c>
      <c r="I631" s="6">
        <v>2305.44</v>
      </c>
      <c r="J631" s="8" t="s">
        <v>17</v>
      </c>
      <c r="K631" s="12">
        <v>0.22</v>
      </c>
      <c r="L631" s="8" t="s">
        <v>31</v>
      </c>
      <c r="M631" s="8" t="s">
        <v>19</v>
      </c>
      <c r="N631" s="10" t="s">
        <v>43</v>
      </c>
      <c r="O631" s="17">
        <f xml:space="preserve"> (Tabla1[[#This Row],[Unit_Price]] - Tabla1[[#This Row],[Unit_Cost]] ) * Tabla1[[#This Row],[Quantity_Sold]]</f>
        <v>740.06</v>
      </c>
      <c r="P631" s="12">
        <f>Tabla1[[#This Row],[Profit]] / Tabla1[[#This Row],[Sales_Calculated]]</f>
        <v>0.16050298424595738</v>
      </c>
      <c r="Q631" s="20">
        <f xml:space="preserve"> Tabla1[[#This Row],[Unit_Price]] * Tabla1[[#This Row],[Quantity_Sold]]</f>
        <v>4610.88</v>
      </c>
    </row>
    <row r="632" spans="1:17" x14ac:dyDescent="0.3">
      <c r="A632" s="2">
        <v>1083</v>
      </c>
      <c r="B632" s="1">
        <v>45152</v>
      </c>
      <c r="C632" s="8" t="s">
        <v>38</v>
      </c>
      <c r="D632" s="8" t="s">
        <v>21</v>
      </c>
      <c r="E632" s="6">
        <v>4902.4399999999996</v>
      </c>
      <c r="F632" s="2">
        <v>42</v>
      </c>
      <c r="G632" s="8" t="s">
        <v>29</v>
      </c>
      <c r="H632" s="6">
        <v>2505.41</v>
      </c>
      <c r="I632" s="6">
        <v>2638.96</v>
      </c>
      <c r="J632" s="8" t="s">
        <v>30</v>
      </c>
      <c r="K632" s="12">
        <v>0.1</v>
      </c>
      <c r="L632" s="8" t="s">
        <v>27</v>
      </c>
      <c r="M632" s="8" t="s">
        <v>19</v>
      </c>
      <c r="N632" s="10" t="s">
        <v>41</v>
      </c>
      <c r="O632" s="17">
        <f xml:space="preserve"> (Tabla1[[#This Row],[Unit_Price]] - Tabla1[[#This Row],[Unit_Cost]] ) * Tabla1[[#This Row],[Quantity_Sold]]</f>
        <v>5609.1000000000076</v>
      </c>
      <c r="P632" s="12">
        <f>Tabla1[[#This Row],[Profit]] / Tabla1[[#This Row],[Sales_Calculated]]</f>
        <v>5.0607057325613186E-2</v>
      </c>
      <c r="Q632" s="20">
        <f xml:space="preserve"> Tabla1[[#This Row],[Unit_Price]] * Tabla1[[#This Row],[Quantity_Sold]]</f>
        <v>110836.32</v>
      </c>
    </row>
    <row r="633" spans="1:17" x14ac:dyDescent="0.3">
      <c r="A633" s="2">
        <v>1016</v>
      </c>
      <c r="B633" s="1">
        <v>45239</v>
      </c>
      <c r="C633" s="8" t="s">
        <v>33</v>
      </c>
      <c r="D633" s="8" t="s">
        <v>25</v>
      </c>
      <c r="E633" s="6">
        <v>3402.92</v>
      </c>
      <c r="F633" s="2">
        <v>24</v>
      </c>
      <c r="G633" s="8" t="s">
        <v>16</v>
      </c>
      <c r="H633" s="6">
        <v>88.44</v>
      </c>
      <c r="I633" s="6">
        <v>338.94</v>
      </c>
      <c r="J633" s="8" t="s">
        <v>30</v>
      </c>
      <c r="K633" s="12">
        <v>0.28999999999999998</v>
      </c>
      <c r="L633" s="8" t="s">
        <v>18</v>
      </c>
      <c r="M633" s="8" t="s">
        <v>19</v>
      </c>
      <c r="N633" s="10" t="s">
        <v>44</v>
      </c>
      <c r="O633" s="17">
        <f xml:space="preserve"> (Tabla1[[#This Row],[Unit_Price]] - Tabla1[[#This Row],[Unit_Cost]] ) * Tabla1[[#This Row],[Quantity_Sold]]</f>
        <v>6012</v>
      </c>
      <c r="P633" s="12">
        <f>Tabla1[[#This Row],[Profit]] / Tabla1[[#This Row],[Sales_Calculated]]</f>
        <v>0.73906886174544173</v>
      </c>
      <c r="Q633" s="20">
        <f xml:space="preserve"> Tabla1[[#This Row],[Unit_Price]] * Tabla1[[#This Row],[Quantity_Sold]]</f>
        <v>8134.5599999999995</v>
      </c>
    </row>
    <row r="634" spans="1:17" x14ac:dyDescent="0.3">
      <c r="A634" s="2">
        <v>1069</v>
      </c>
      <c r="B634" s="1">
        <v>45144</v>
      </c>
      <c r="C634" s="8" t="s">
        <v>14</v>
      </c>
      <c r="D634" s="8" t="s">
        <v>15</v>
      </c>
      <c r="E634" s="6">
        <v>7936.43</v>
      </c>
      <c r="F634" s="2">
        <v>4</v>
      </c>
      <c r="G634" s="8" t="s">
        <v>35</v>
      </c>
      <c r="H634" s="6">
        <v>2485.86</v>
      </c>
      <c r="I634" s="6">
        <v>2532.87</v>
      </c>
      <c r="J634" s="8" t="s">
        <v>30</v>
      </c>
      <c r="K634" s="12">
        <v>0.01</v>
      </c>
      <c r="L634" s="8" t="s">
        <v>31</v>
      </c>
      <c r="M634" s="8" t="s">
        <v>19</v>
      </c>
      <c r="N634" s="10" t="s">
        <v>20</v>
      </c>
      <c r="O634" s="17">
        <f xml:space="preserve"> (Tabla1[[#This Row],[Unit_Price]] - Tabla1[[#This Row],[Unit_Cost]] ) * Tabla1[[#This Row],[Quantity_Sold]]</f>
        <v>188.03999999999905</v>
      </c>
      <c r="P634" s="12">
        <f>Tabla1[[#This Row],[Profit]] / Tabla1[[#This Row],[Sales_Calculated]]</f>
        <v>1.8559973468831707E-2</v>
      </c>
      <c r="Q634" s="20">
        <f xml:space="preserve"> Tabla1[[#This Row],[Unit_Price]] * Tabla1[[#This Row],[Quantity_Sold]]</f>
        <v>10131.48</v>
      </c>
    </row>
    <row r="635" spans="1:17" x14ac:dyDescent="0.3">
      <c r="A635" s="2">
        <v>1099</v>
      </c>
      <c r="B635" s="1">
        <v>45167</v>
      </c>
      <c r="C635" s="8" t="s">
        <v>42</v>
      </c>
      <c r="D635" s="8" t="s">
        <v>21</v>
      </c>
      <c r="E635" s="6">
        <v>4567.8100000000004</v>
      </c>
      <c r="F635" s="2">
        <v>44</v>
      </c>
      <c r="G635" s="8" t="s">
        <v>29</v>
      </c>
      <c r="H635" s="6">
        <v>4933.1099999999997</v>
      </c>
      <c r="I635" s="6">
        <v>5245.86</v>
      </c>
      <c r="J635" s="8" t="s">
        <v>17</v>
      </c>
      <c r="K635" s="12">
        <v>0.13</v>
      </c>
      <c r="L635" s="8" t="s">
        <v>27</v>
      </c>
      <c r="M635" s="8" t="s">
        <v>22</v>
      </c>
      <c r="N635" s="10" t="s">
        <v>51</v>
      </c>
      <c r="O635" s="17">
        <f xml:space="preserve"> (Tabla1[[#This Row],[Unit_Price]] - Tabla1[[#This Row],[Unit_Cost]] ) * Tabla1[[#This Row],[Quantity_Sold]]</f>
        <v>13761</v>
      </c>
      <c r="P635" s="12">
        <f>Tabla1[[#This Row],[Profit]] / Tabla1[[#This Row],[Sales_Calculated]]</f>
        <v>5.9618441971383149E-2</v>
      </c>
      <c r="Q635" s="20">
        <f xml:space="preserve"> Tabla1[[#This Row],[Unit_Price]] * Tabla1[[#This Row],[Quantity_Sold]]</f>
        <v>230817.84</v>
      </c>
    </row>
    <row r="636" spans="1:17" x14ac:dyDescent="0.3">
      <c r="A636" s="2">
        <v>1012</v>
      </c>
      <c r="B636" s="1">
        <v>45185</v>
      </c>
      <c r="C636" s="8" t="s">
        <v>24</v>
      </c>
      <c r="D636" s="8" t="s">
        <v>25</v>
      </c>
      <c r="E636" s="6">
        <v>1916.08</v>
      </c>
      <c r="F636" s="2">
        <v>19</v>
      </c>
      <c r="G636" s="8" t="s">
        <v>35</v>
      </c>
      <c r="H636" s="6">
        <v>1427.42</v>
      </c>
      <c r="I636" s="6">
        <v>1763.69</v>
      </c>
      <c r="J636" s="8" t="s">
        <v>30</v>
      </c>
      <c r="K636" s="12">
        <v>0.03</v>
      </c>
      <c r="L636" s="8" t="s">
        <v>18</v>
      </c>
      <c r="M636" s="8" t="s">
        <v>22</v>
      </c>
      <c r="N636" s="10" t="s">
        <v>28</v>
      </c>
      <c r="O636" s="17">
        <f xml:space="preserve"> (Tabla1[[#This Row],[Unit_Price]] - Tabla1[[#This Row],[Unit_Cost]] ) * Tabla1[[#This Row],[Quantity_Sold]]</f>
        <v>6389.1299999999992</v>
      </c>
      <c r="P636" s="12">
        <f>Tabla1[[#This Row],[Profit]] / Tabla1[[#This Row],[Sales_Calculated]]</f>
        <v>0.19066275819446726</v>
      </c>
      <c r="Q636" s="20">
        <f xml:space="preserve"> Tabla1[[#This Row],[Unit_Price]] * Tabla1[[#This Row],[Quantity_Sold]]</f>
        <v>33510.11</v>
      </c>
    </row>
    <row r="637" spans="1:17" x14ac:dyDescent="0.3">
      <c r="A637" s="2">
        <v>1025</v>
      </c>
      <c r="B637" s="1">
        <v>45188</v>
      </c>
      <c r="C637" s="8" t="s">
        <v>42</v>
      </c>
      <c r="D637" s="8" t="s">
        <v>34</v>
      </c>
      <c r="E637" s="6">
        <v>8564.24</v>
      </c>
      <c r="F637" s="2">
        <v>26</v>
      </c>
      <c r="G637" s="8" t="s">
        <v>35</v>
      </c>
      <c r="H637" s="6">
        <v>2007.32</v>
      </c>
      <c r="I637" s="6">
        <v>2202.87</v>
      </c>
      <c r="J637" s="8" t="s">
        <v>17</v>
      </c>
      <c r="K637" s="12">
        <v>0.11</v>
      </c>
      <c r="L637" s="8" t="s">
        <v>18</v>
      </c>
      <c r="M637" s="8" t="s">
        <v>19</v>
      </c>
      <c r="N637" s="10" t="s">
        <v>52</v>
      </c>
      <c r="O637" s="17">
        <f xml:space="preserve"> (Tabla1[[#This Row],[Unit_Price]] - Tabla1[[#This Row],[Unit_Cost]] ) * Tabla1[[#This Row],[Quantity_Sold]]</f>
        <v>5084.2999999999993</v>
      </c>
      <c r="P637" s="12">
        <f>Tabla1[[#This Row],[Profit]] / Tabla1[[#This Row],[Sales_Calculated]]</f>
        <v>8.8770558407895148E-2</v>
      </c>
      <c r="Q637" s="20">
        <f xml:space="preserve"> Tabla1[[#This Row],[Unit_Price]] * Tabla1[[#This Row],[Quantity_Sold]]</f>
        <v>57274.619999999995</v>
      </c>
    </row>
    <row r="638" spans="1:17" x14ac:dyDescent="0.3">
      <c r="A638" s="2">
        <v>1052</v>
      </c>
      <c r="B638" s="1">
        <v>44931</v>
      </c>
      <c r="C638" s="8" t="s">
        <v>14</v>
      </c>
      <c r="D638" s="8" t="s">
        <v>15</v>
      </c>
      <c r="E638" s="6">
        <v>8837.34</v>
      </c>
      <c r="F638" s="2">
        <v>11</v>
      </c>
      <c r="G638" s="8" t="s">
        <v>29</v>
      </c>
      <c r="H638" s="6">
        <v>3451.59</v>
      </c>
      <c r="I638" s="6">
        <v>3929.26</v>
      </c>
      <c r="J638" s="8" t="s">
        <v>30</v>
      </c>
      <c r="K638" s="12">
        <v>0.3</v>
      </c>
      <c r="L638" s="8" t="s">
        <v>31</v>
      </c>
      <c r="M638" s="8" t="s">
        <v>22</v>
      </c>
      <c r="N638" s="10" t="s">
        <v>20</v>
      </c>
      <c r="O638" s="17">
        <f xml:space="preserve"> (Tabla1[[#This Row],[Unit_Price]] - Tabla1[[#This Row],[Unit_Cost]] ) * Tabla1[[#This Row],[Quantity_Sold]]</f>
        <v>5254.3700000000008</v>
      </c>
      <c r="P638" s="12">
        <f>Tabla1[[#This Row],[Profit]] / Tabla1[[#This Row],[Sales_Calculated]]</f>
        <v>0.12156741981950801</v>
      </c>
      <c r="Q638" s="20">
        <f xml:space="preserve"> Tabla1[[#This Row],[Unit_Price]] * Tabla1[[#This Row],[Quantity_Sold]]</f>
        <v>43221.86</v>
      </c>
    </row>
    <row r="639" spans="1:17" x14ac:dyDescent="0.3">
      <c r="A639" s="2">
        <v>1085</v>
      </c>
      <c r="B639" s="1">
        <v>45187</v>
      </c>
      <c r="C639" s="8" t="s">
        <v>38</v>
      </c>
      <c r="D639" s="8" t="s">
        <v>34</v>
      </c>
      <c r="E639" s="6">
        <v>4716.47</v>
      </c>
      <c r="F639" s="2">
        <v>40</v>
      </c>
      <c r="G639" s="8" t="s">
        <v>29</v>
      </c>
      <c r="H639" s="6">
        <v>4083.23</v>
      </c>
      <c r="I639" s="6">
        <v>4521.57</v>
      </c>
      <c r="J639" s="8" t="s">
        <v>30</v>
      </c>
      <c r="K639" s="12">
        <v>0.27</v>
      </c>
      <c r="L639" s="8" t="s">
        <v>27</v>
      </c>
      <c r="M639" s="8" t="s">
        <v>22</v>
      </c>
      <c r="N639" s="10" t="s">
        <v>48</v>
      </c>
      <c r="O639" s="17">
        <f xml:space="preserve"> (Tabla1[[#This Row],[Unit_Price]] - Tabla1[[#This Row],[Unit_Cost]] ) * Tabla1[[#This Row],[Quantity_Sold]]</f>
        <v>17533.599999999988</v>
      </c>
      <c r="P639" s="12">
        <f>Tabla1[[#This Row],[Profit]] / Tabla1[[#This Row],[Sales_Calculated]]</f>
        <v>9.6944203009131716E-2</v>
      </c>
      <c r="Q639" s="20">
        <f xml:space="preserve"> Tabla1[[#This Row],[Unit_Price]] * Tabla1[[#This Row],[Quantity_Sold]]</f>
        <v>180862.8</v>
      </c>
    </row>
    <row r="640" spans="1:17" x14ac:dyDescent="0.3">
      <c r="A640" s="2">
        <v>1100</v>
      </c>
      <c r="B640" s="1">
        <v>44980</v>
      </c>
      <c r="C640" s="8" t="s">
        <v>38</v>
      </c>
      <c r="D640" s="8" t="s">
        <v>15</v>
      </c>
      <c r="E640" s="6">
        <v>849.43</v>
      </c>
      <c r="F640" s="2">
        <v>43</v>
      </c>
      <c r="G640" s="8" t="s">
        <v>16</v>
      </c>
      <c r="H640" s="6">
        <v>2116.09</v>
      </c>
      <c r="I640" s="6">
        <v>2472.98</v>
      </c>
      <c r="J640" s="8" t="s">
        <v>30</v>
      </c>
      <c r="K640" s="12">
        <v>0.01</v>
      </c>
      <c r="L640" s="8" t="s">
        <v>31</v>
      </c>
      <c r="M640" s="8" t="s">
        <v>22</v>
      </c>
      <c r="N640" s="10" t="s">
        <v>40</v>
      </c>
      <c r="O640" s="17">
        <f xml:space="preserve"> (Tabla1[[#This Row],[Unit_Price]] - Tabla1[[#This Row],[Unit_Cost]] ) * Tabla1[[#This Row],[Quantity_Sold]]</f>
        <v>15346.269999999995</v>
      </c>
      <c r="P640" s="12">
        <f>Tabla1[[#This Row],[Profit]] / Tabla1[[#This Row],[Sales_Calculated]]</f>
        <v>0.14431576478580493</v>
      </c>
      <c r="Q640" s="20">
        <f xml:space="preserve"> Tabla1[[#This Row],[Unit_Price]] * Tabla1[[#This Row],[Quantity_Sold]]</f>
        <v>106338.14</v>
      </c>
    </row>
    <row r="641" spans="1:17" x14ac:dyDescent="0.3">
      <c r="A641" s="2">
        <v>1053</v>
      </c>
      <c r="B641" s="1">
        <v>44973</v>
      </c>
      <c r="C641" s="8" t="s">
        <v>38</v>
      </c>
      <c r="D641" s="8" t="s">
        <v>21</v>
      </c>
      <c r="E641" s="6">
        <v>3939.48</v>
      </c>
      <c r="F641" s="2">
        <v>11</v>
      </c>
      <c r="G641" s="8" t="s">
        <v>16</v>
      </c>
      <c r="H641" s="6">
        <v>1582.86</v>
      </c>
      <c r="I641" s="6">
        <v>1942.55</v>
      </c>
      <c r="J641" s="8" t="s">
        <v>30</v>
      </c>
      <c r="K641" s="12">
        <v>0.17</v>
      </c>
      <c r="L641" s="8" t="s">
        <v>31</v>
      </c>
      <c r="M641" s="8" t="s">
        <v>22</v>
      </c>
      <c r="N641" s="10" t="s">
        <v>41</v>
      </c>
      <c r="O641" s="17">
        <f xml:space="preserve"> (Tabla1[[#This Row],[Unit_Price]] - Tabla1[[#This Row],[Unit_Cost]] ) * Tabla1[[#This Row],[Quantity_Sold]]</f>
        <v>3956.5900000000006</v>
      </c>
      <c r="P641" s="12">
        <f>Tabla1[[#This Row],[Profit]] / Tabla1[[#This Row],[Sales_Calculated]]</f>
        <v>0.18516383104681994</v>
      </c>
      <c r="Q641" s="20">
        <f xml:space="preserve"> Tabla1[[#This Row],[Unit_Price]] * Tabla1[[#This Row],[Quantity_Sold]]</f>
        <v>21368.05</v>
      </c>
    </row>
    <row r="642" spans="1:17" x14ac:dyDescent="0.3">
      <c r="A642" s="2">
        <v>1023</v>
      </c>
      <c r="B642" s="1">
        <v>45141</v>
      </c>
      <c r="C642" s="8" t="s">
        <v>24</v>
      </c>
      <c r="D642" s="8" t="s">
        <v>21</v>
      </c>
      <c r="E642" s="6">
        <v>8055.02</v>
      </c>
      <c r="F642" s="2">
        <v>45</v>
      </c>
      <c r="G642" s="8" t="s">
        <v>26</v>
      </c>
      <c r="H642" s="6">
        <v>4692.24</v>
      </c>
      <c r="I642" s="6">
        <v>4825.92</v>
      </c>
      <c r="J642" s="8" t="s">
        <v>17</v>
      </c>
      <c r="K642" s="12">
        <v>0.19</v>
      </c>
      <c r="L642" s="8" t="s">
        <v>27</v>
      </c>
      <c r="M642" s="8" t="s">
        <v>22</v>
      </c>
      <c r="N642" s="10" t="s">
        <v>47</v>
      </c>
      <c r="O642" s="17">
        <f xml:space="preserve"> (Tabla1[[#This Row],[Unit_Price]] - Tabla1[[#This Row],[Unit_Cost]] ) * Tabla1[[#This Row],[Quantity_Sold]]</f>
        <v>6015.6000000000131</v>
      </c>
      <c r="P642" s="12">
        <f>Tabla1[[#This Row],[Profit]] / Tabla1[[#This Row],[Sales_Calculated]]</f>
        <v>2.7700417744181482E-2</v>
      </c>
      <c r="Q642" s="20">
        <f xml:space="preserve"> Tabla1[[#This Row],[Unit_Price]] * Tabla1[[#This Row],[Quantity_Sold]]</f>
        <v>217166.4</v>
      </c>
    </row>
    <row r="643" spans="1:17" x14ac:dyDescent="0.3">
      <c r="A643" s="2">
        <v>1016</v>
      </c>
      <c r="B643" s="1">
        <v>45103</v>
      </c>
      <c r="C643" s="8" t="s">
        <v>33</v>
      </c>
      <c r="D643" s="8" t="s">
        <v>15</v>
      </c>
      <c r="E643" s="6">
        <v>9027.56</v>
      </c>
      <c r="F643" s="2">
        <v>3</v>
      </c>
      <c r="G643" s="8" t="s">
        <v>35</v>
      </c>
      <c r="H643" s="6">
        <v>3401.87</v>
      </c>
      <c r="I643" s="6">
        <v>3733.71</v>
      </c>
      <c r="J643" s="8" t="s">
        <v>17</v>
      </c>
      <c r="K643" s="12">
        <v>0.06</v>
      </c>
      <c r="L643" s="8" t="s">
        <v>27</v>
      </c>
      <c r="M643" s="8" t="s">
        <v>22</v>
      </c>
      <c r="N643" s="10" t="s">
        <v>53</v>
      </c>
      <c r="O643" s="17">
        <f xml:space="preserve"> (Tabla1[[#This Row],[Unit_Price]] - Tabla1[[#This Row],[Unit_Cost]] ) * Tabla1[[#This Row],[Quantity_Sold]]</f>
        <v>995.52000000000044</v>
      </c>
      <c r="P643" s="12">
        <f>Tabla1[[#This Row],[Profit]] / Tabla1[[#This Row],[Sales_Calculated]]</f>
        <v>8.8876747256750016E-2</v>
      </c>
      <c r="Q643" s="20">
        <f xml:space="preserve"> Tabla1[[#This Row],[Unit_Price]] * Tabla1[[#This Row],[Quantity_Sold]]</f>
        <v>11201.130000000001</v>
      </c>
    </row>
    <row r="644" spans="1:17" x14ac:dyDescent="0.3">
      <c r="A644" s="2">
        <v>1057</v>
      </c>
      <c r="B644" s="1">
        <v>44935</v>
      </c>
      <c r="C644" s="8" t="s">
        <v>33</v>
      </c>
      <c r="D644" s="8" t="s">
        <v>15</v>
      </c>
      <c r="E644" s="6">
        <v>2114.38</v>
      </c>
      <c r="F644" s="2">
        <v>12</v>
      </c>
      <c r="G644" s="8" t="s">
        <v>16</v>
      </c>
      <c r="H644" s="6">
        <v>639.16</v>
      </c>
      <c r="I644" s="6">
        <v>746.28</v>
      </c>
      <c r="J644" s="8" t="s">
        <v>17</v>
      </c>
      <c r="K644" s="12">
        <v>0.04</v>
      </c>
      <c r="L644" s="8" t="s">
        <v>27</v>
      </c>
      <c r="M644" s="8" t="s">
        <v>22</v>
      </c>
      <c r="N644" s="10" t="s">
        <v>53</v>
      </c>
      <c r="O644" s="17">
        <f xml:space="preserve"> (Tabla1[[#This Row],[Unit_Price]] - Tabla1[[#This Row],[Unit_Cost]] ) * Tabla1[[#This Row],[Quantity_Sold]]</f>
        <v>1285.44</v>
      </c>
      <c r="P644" s="12">
        <f>Tabla1[[#This Row],[Profit]] / Tabla1[[#This Row],[Sales_Calculated]]</f>
        <v>0.14353861821300315</v>
      </c>
      <c r="Q644" s="20">
        <f xml:space="preserve"> Tabla1[[#This Row],[Unit_Price]] * Tabla1[[#This Row],[Quantity_Sold]]</f>
        <v>8955.36</v>
      </c>
    </row>
    <row r="645" spans="1:17" x14ac:dyDescent="0.3">
      <c r="A645" s="2">
        <v>1039</v>
      </c>
      <c r="B645" s="1">
        <v>45025</v>
      </c>
      <c r="C645" s="8" t="s">
        <v>42</v>
      </c>
      <c r="D645" s="8" t="s">
        <v>15</v>
      </c>
      <c r="E645" s="6">
        <v>763.04</v>
      </c>
      <c r="F645" s="2">
        <v>3</v>
      </c>
      <c r="G645" s="8" t="s">
        <v>26</v>
      </c>
      <c r="H645" s="6">
        <v>391.19</v>
      </c>
      <c r="I645" s="6">
        <v>471.75</v>
      </c>
      <c r="J645" s="8" t="s">
        <v>17</v>
      </c>
      <c r="K645" s="12">
        <v>0.27</v>
      </c>
      <c r="L645" s="8" t="s">
        <v>18</v>
      </c>
      <c r="M645" s="8" t="s">
        <v>19</v>
      </c>
      <c r="N645" s="10" t="s">
        <v>49</v>
      </c>
      <c r="O645" s="17">
        <f xml:space="preserve"> (Tabla1[[#This Row],[Unit_Price]] - Tabla1[[#This Row],[Unit_Cost]] ) * Tabla1[[#This Row],[Quantity_Sold]]</f>
        <v>241.68</v>
      </c>
      <c r="P645" s="12">
        <f>Tabla1[[#This Row],[Profit]] / Tabla1[[#This Row],[Sales_Calculated]]</f>
        <v>0.17076841547429783</v>
      </c>
      <c r="Q645" s="20">
        <f xml:space="preserve"> Tabla1[[#This Row],[Unit_Price]] * Tabla1[[#This Row],[Quantity_Sold]]</f>
        <v>1415.25</v>
      </c>
    </row>
    <row r="646" spans="1:17" x14ac:dyDescent="0.3">
      <c r="A646" s="2">
        <v>1053</v>
      </c>
      <c r="B646" s="1">
        <v>44946</v>
      </c>
      <c r="C646" s="8" t="s">
        <v>24</v>
      </c>
      <c r="D646" s="8" t="s">
        <v>21</v>
      </c>
      <c r="E646" s="6">
        <v>8785.77</v>
      </c>
      <c r="F646" s="2">
        <v>42</v>
      </c>
      <c r="G646" s="8" t="s">
        <v>16</v>
      </c>
      <c r="H646" s="6">
        <v>2443.5700000000002</v>
      </c>
      <c r="I646" s="6">
        <v>2943.31</v>
      </c>
      <c r="J646" s="8" t="s">
        <v>30</v>
      </c>
      <c r="K646" s="12">
        <v>0.28999999999999998</v>
      </c>
      <c r="L646" s="8" t="s">
        <v>18</v>
      </c>
      <c r="M646" s="8" t="s">
        <v>19</v>
      </c>
      <c r="N646" s="10" t="s">
        <v>47</v>
      </c>
      <c r="O646" s="17">
        <f xml:space="preserve"> (Tabla1[[#This Row],[Unit_Price]] - Tabla1[[#This Row],[Unit_Cost]] ) * Tabla1[[#This Row],[Quantity_Sold]]</f>
        <v>20989.079999999991</v>
      </c>
      <c r="P646" s="12">
        <f>Tabla1[[#This Row],[Profit]] / Tabla1[[#This Row],[Sales_Calculated]]</f>
        <v>0.16978843546891076</v>
      </c>
      <c r="Q646" s="20">
        <f xml:space="preserve"> Tabla1[[#This Row],[Unit_Price]] * Tabla1[[#This Row],[Quantity_Sold]]</f>
        <v>123619.02</v>
      </c>
    </row>
    <row r="647" spans="1:17" x14ac:dyDescent="0.3">
      <c r="A647" s="2">
        <v>1042</v>
      </c>
      <c r="B647" s="1">
        <v>45167</v>
      </c>
      <c r="C647" s="8" t="s">
        <v>38</v>
      </c>
      <c r="D647" s="8" t="s">
        <v>25</v>
      </c>
      <c r="E647" s="6">
        <v>3955.11</v>
      </c>
      <c r="F647" s="2">
        <v>27</v>
      </c>
      <c r="G647" s="8" t="s">
        <v>29</v>
      </c>
      <c r="H647" s="6">
        <v>1139.45</v>
      </c>
      <c r="I647" s="6">
        <v>1454.41</v>
      </c>
      <c r="J647" s="8" t="s">
        <v>17</v>
      </c>
      <c r="K647" s="12">
        <v>0.3</v>
      </c>
      <c r="L647" s="8" t="s">
        <v>27</v>
      </c>
      <c r="M647" s="8" t="s">
        <v>19</v>
      </c>
      <c r="N647" s="10" t="s">
        <v>39</v>
      </c>
      <c r="O647" s="17">
        <f xml:space="preserve"> (Tabla1[[#This Row],[Unit_Price]] - Tabla1[[#This Row],[Unit_Cost]] ) * Tabla1[[#This Row],[Quantity_Sold]]</f>
        <v>8503.9200000000019</v>
      </c>
      <c r="P647" s="12">
        <f>Tabla1[[#This Row],[Profit]] / Tabla1[[#This Row],[Sales_Calculated]]</f>
        <v>0.21655516669989897</v>
      </c>
      <c r="Q647" s="20">
        <f xml:space="preserve"> Tabla1[[#This Row],[Unit_Price]] * Tabla1[[#This Row],[Quantity_Sold]]</f>
        <v>39269.07</v>
      </c>
    </row>
    <row r="648" spans="1:17" x14ac:dyDescent="0.3">
      <c r="A648" s="2">
        <v>1058</v>
      </c>
      <c r="B648" s="1">
        <v>44987</v>
      </c>
      <c r="C648" s="8" t="s">
        <v>38</v>
      </c>
      <c r="D648" s="8" t="s">
        <v>34</v>
      </c>
      <c r="E648" s="6">
        <v>5463.43</v>
      </c>
      <c r="F648" s="2">
        <v>49</v>
      </c>
      <c r="G648" s="8" t="s">
        <v>16</v>
      </c>
      <c r="H648" s="6">
        <v>1307.22</v>
      </c>
      <c r="I648" s="6">
        <v>1528.4</v>
      </c>
      <c r="J648" s="8" t="s">
        <v>17</v>
      </c>
      <c r="K648" s="12">
        <v>0.24</v>
      </c>
      <c r="L648" s="8" t="s">
        <v>18</v>
      </c>
      <c r="M648" s="8" t="s">
        <v>22</v>
      </c>
      <c r="N648" s="10" t="s">
        <v>48</v>
      </c>
      <c r="O648" s="17">
        <f xml:space="preserve"> (Tabla1[[#This Row],[Unit_Price]] - Tabla1[[#This Row],[Unit_Cost]] ) * Tabla1[[#This Row],[Quantity_Sold]]</f>
        <v>10837.820000000003</v>
      </c>
      <c r="P648" s="12">
        <f>Tabla1[[#This Row],[Profit]] / Tabla1[[#This Row],[Sales_Calculated]]</f>
        <v>0.14471342580476318</v>
      </c>
      <c r="Q648" s="20">
        <f xml:space="preserve"> Tabla1[[#This Row],[Unit_Price]] * Tabla1[[#This Row],[Quantity_Sold]]</f>
        <v>74891.600000000006</v>
      </c>
    </row>
    <row r="649" spans="1:17" x14ac:dyDescent="0.3">
      <c r="A649" s="2">
        <v>1039</v>
      </c>
      <c r="B649" s="1">
        <v>45104</v>
      </c>
      <c r="C649" s="8" t="s">
        <v>14</v>
      </c>
      <c r="D649" s="8" t="s">
        <v>34</v>
      </c>
      <c r="E649" s="6">
        <v>9683.85</v>
      </c>
      <c r="F649" s="2">
        <v>2</v>
      </c>
      <c r="G649" s="8" t="s">
        <v>35</v>
      </c>
      <c r="H649" s="6">
        <v>4394.58</v>
      </c>
      <c r="I649" s="6">
        <v>4545.78</v>
      </c>
      <c r="J649" s="8" t="s">
        <v>17</v>
      </c>
      <c r="K649" s="12">
        <v>0.2</v>
      </c>
      <c r="L649" s="8" t="s">
        <v>31</v>
      </c>
      <c r="M649" s="8" t="s">
        <v>22</v>
      </c>
      <c r="N649" s="10" t="s">
        <v>46</v>
      </c>
      <c r="O649" s="17">
        <f xml:space="preserve"> (Tabla1[[#This Row],[Unit_Price]] - Tabla1[[#This Row],[Unit_Cost]] ) * Tabla1[[#This Row],[Quantity_Sold]]</f>
        <v>302.39999999999964</v>
      </c>
      <c r="P649" s="12">
        <f>Tabla1[[#This Row],[Profit]] / Tabla1[[#This Row],[Sales_Calculated]]</f>
        <v>3.3261618468117642E-2</v>
      </c>
      <c r="Q649" s="20">
        <f xml:space="preserve"> Tabla1[[#This Row],[Unit_Price]] * Tabla1[[#This Row],[Quantity_Sold]]</f>
        <v>9091.56</v>
      </c>
    </row>
    <row r="650" spans="1:17" x14ac:dyDescent="0.3">
      <c r="A650" s="2">
        <v>1014</v>
      </c>
      <c r="B650" s="1">
        <v>45264</v>
      </c>
      <c r="C650" s="8" t="s">
        <v>14</v>
      </c>
      <c r="D650" s="8" t="s">
        <v>21</v>
      </c>
      <c r="E650" s="6">
        <v>758.99</v>
      </c>
      <c r="F650" s="2">
        <v>49</v>
      </c>
      <c r="G650" s="8" t="s">
        <v>16</v>
      </c>
      <c r="H650" s="6">
        <v>493.35</v>
      </c>
      <c r="I650" s="6">
        <v>799.27</v>
      </c>
      <c r="J650" s="8" t="s">
        <v>30</v>
      </c>
      <c r="K650" s="12">
        <v>0.1</v>
      </c>
      <c r="L650" s="8" t="s">
        <v>27</v>
      </c>
      <c r="M650" s="8" t="s">
        <v>19</v>
      </c>
      <c r="N650" s="10" t="s">
        <v>23</v>
      </c>
      <c r="O650" s="17">
        <f xml:space="preserve"> (Tabla1[[#This Row],[Unit_Price]] - Tabla1[[#This Row],[Unit_Cost]] ) * Tabla1[[#This Row],[Quantity_Sold]]</f>
        <v>14990.079999999998</v>
      </c>
      <c r="P650" s="12">
        <f>Tabla1[[#This Row],[Profit]] / Tabla1[[#This Row],[Sales_Calculated]]</f>
        <v>0.38274925869856241</v>
      </c>
      <c r="Q650" s="20">
        <f xml:space="preserve"> Tabla1[[#This Row],[Unit_Price]] * Tabla1[[#This Row],[Quantity_Sold]]</f>
        <v>39164.229999999996</v>
      </c>
    </row>
    <row r="651" spans="1:17" x14ac:dyDescent="0.3">
      <c r="A651" s="2">
        <v>1095</v>
      </c>
      <c r="B651" s="1">
        <v>44988</v>
      </c>
      <c r="C651" s="8" t="s">
        <v>38</v>
      </c>
      <c r="D651" s="8" t="s">
        <v>34</v>
      </c>
      <c r="E651" s="6">
        <v>6518.35</v>
      </c>
      <c r="F651" s="2">
        <v>16</v>
      </c>
      <c r="G651" s="8" t="s">
        <v>35</v>
      </c>
      <c r="H651" s="6">
        <v>3591.05</v>
      </c>
      <c r="I651" s="6">
        <v>3625.35</v>
      </c>
      <c r="J651" s="8" t="s">
        <v>17</v>
      </c>
      <c r="K651" s="12">
        <v>0.05</v>
      </c>
      <c r="L651" s="8" t="s">
        <v>31</v>
      </c>
      <c r="M651" s="8" t="s">
        <v>22</v>
      </c>
      <c r="N651" s="10" t="s">
        <v>48</v>
      </c>
      <c r="O651" s="17">
        <f xml:space="preserve"> (Tabla1[[#This Row],[Unit_Price]] - Tabla1[[#This Row],[Unit_Cost]] ) * Tabla1[[#This Row],[Quantity_Sold]]</f>
        <v>548.79999999999563</v>
      </c>
      <c r="P651" s="12">
        <f>Tabla1[[#This Row],[Profit]] / Tabla1[[#This Row],[Sales_Calculated]]</f>
        <v>9.461155474643752E-3</v>
      </c>
      <c r="Q651" s="20">
        <f xml:space="preserve"> Tabla1[[#This Row],[Unit_Price]] * Tabla1[[#This Row],[Quantity_Sold]]</f>
        <v>58005.599999999999</v>
      </c>
    </row>
    <row r="652" spans="1:17" x14ac:dyDescent="0.3">
      <c r="A652" s="2">
        <v>1005</v>
      </c>
      <c r="B652" s="1">
        <v>45071</v>
      </c>
      <c r="C652" s="8" t="s">
        <v>38</v>
      </c>
      <c r="D652" s="8" t="s">
        <v>15</v>
      </c>
      <c r="E652" s="6">
        <v>833.64</v>
      </c>
      <c r="F652" s="2">
        <v>2</v>
      </c>
      <c r="G652" s="8" t="s">
        <v>29</v>
      </c>
      <c r="H652" s="6">
        <v>1392.15</v>
      </c>
      <c r="I652" s="6">
        <v>1448.54</v>
      </c>
      <c r="J652" s="8" t="s">
        <v>17</v>
      </c>
      <c r="K652" s="12">
        <v>0.02</v>
      </c>
      <c r="L652" s="8" t="s">
        <v>27</v>
      </c>
      <c r="M652" s="8" t="s">
        <v>22</v>
      </c>
      <c r="N652" s="10" t="s">
        <v>40</v>
      </c>
      <c r="O652" s="17">
        <f xml:space="preserve"> (Tabla1[[#This Row],[Unit_Price]] - Tabla1[[#This Row],[Unit_Cost]] ) * Tabla1[[#This Row],[Quantity_Sold]]</f>
        <v>112.77999999999975</v>
      </c>
      <c r="P652" s="12">
        <f>Tabla1[[#This Row],[Profit]] / Tabla1[[#This Row],[Sales_Calculated]]</f>
        <v>3.892885249975829E-2</v>
      </c>
      <c r="Q652" s="20">
        <f xml:space="preserve"> Tabla1[[#This Row],[Unit_Price]] * Tabla1[[#This Row],[Quantity_Sold]]</f>
        <v>2897.08</v>
      </c>
    </row>
    <row r="653" spans="1:17" x14ac:dyDescent="0.3">
      <c r="A653" s="2">
        <v>1035</v>
      </c>
      <c r="B653" s="1">
        <v>45142</v>
      </c>
      <c r="C653" s="8" t="s">
        <v>24</v>
      </c>
      <c r="D653" s="8" t="s">
        <v>25</v>
      </c>
      <c r="E653" s="6">
        <v>3817.14</v>
      </c>
      <c r="F653" s="2">
        <v>30</v>
      </c>
      <c r="G653" s="8" t="s">
        <v>35</v>
      </c>
      <c r="H653" s="6">
        <v>3813.62</v>
      </c>
      <c r="I653" s="6">
        <v>3839.72</v>
      </c>
      <c r="J653" s="8" t="s">
        <v>30</v>
      </c>
      <c r="K653" s="12">
        <v>0.21</v>
      </c>
      <c r="L653" s="8" t="s">
        <v>31</v>
      </c>
      <c r="M653" s="8" t="s">
        <v>19</v>
      </c>
      <c r="N653" s="10" t="s">
        <v>28</v>
      </c>
      <c r="O653" s="17">
        <f xml:space="preserve"> (Tabla1[[#This Row],[Unit_Price]] - Tabla1[[#This Row],[Unit_Cost]] ) * Tabla1[[#This Row],[Quantity_Sold]]</f>
        <v>782.99999999999727</v>
      </c>
      <c r="P653" s="12">
        <f>Tabla1[[#This Row],[Profit]] / Tabla1[[#This Row],[Sales_Calculated]]</f>
        <v>6.797370641609261E-3</v>
      </c>
      <c r="Q653" s="20">
        <f xml:space="preserve"> Tabla1[[#This Row],[Unit_Price]] * Tabla1[[#This Row],[Quantity_Sold]]</f>
        <v>115191.59999999999</v>
      </c>
    </row>
    <row r="654" spans="1:17" x14ac:dyDescent="0.3">
      <c r="A654" s="2">
        <v>1087</v>
      </c>
      <c r="B654" s="1">
        <v>44929</v>
      </c>
      <c r="C654" s="8" t="s">
        <v>33</v>
      </c>
      <c r="D654" s="8" t="s">
        <v>34</v>
      </c>
      <c r="E654" s="6">
        <v>8057.76</v>
      </c>
      <c r="F654" s="2">
        <v>20</v>
      </c>
      <c r="G654" s="8" t="s">
        <v>16</v>
      </c>
      <c r="H654" s="6">
        <v>3625.94</v>
      </c>
      <c r="I654" s="6">
        <v>3880.53</v>
      </c>
      <c r="J654" s="8" t="s">
        <v>30</v>
      </c>
      <c r="K654" s="12">
        <v>0.24</v>
      </c>
      <c r="L654" s="8" t="s">
        <v>27</v>
      </c>
      <c r="M654" s="8" t="s">
        <v>19</v>
      </c>
      <c r="N654" s="10" t="s">
        <v>36</v>
      </c>
      <c r="O654" s="17">
        <f xml:space="preserve"> (Tabla1[[#This Row],[Unit_Price]] - Tabla1[[#This Row],[Unit_Cost]] ) * Tabla1[[#This Row],[Quantity_Sold]]</f>
        <v>5091.8000000000029</v>
      </c>
      <c r="P654" s="12">
        <f>Tabla1[[#This Row],[Profit]] / Tabla1[[#This Row],[Sales_Calculated]]</f>
        <v>6.5607017598111633E-2</v>
      </c>
      <c r="Q654" s="20">
        <f xml:space="preserve"> Tabla1[[#This Row],[Unit_Price]] * Tabla1[[#This Row],[Quantity_Sold]]</f>
        <v>77610.600000000006</v>
      </c>
    </row>
    <row r="655" spans="1:17" x14ac:dyDescent="0.3">
      <c r="A655" s="2">
        <v>1093</v>
      </c>
      <c r="B655" s="1">
        <v>45086</v>
      </c>
      <c r="C655" s="8" t="s">
        <v>14</v>
      </c>
      <c r="D655" s="8" t="s">
        <v>25</v>
      </c>
      <c r="E655" s="6">
        <v>4391.38</v>
      </c>
      <c r="F655" s="2">
        <v>38</v>
      </c>
      <c r="G655" s="8" t="s">
        <v>26</v>
      </c>
      <c r="H655" s="6">
        <v>86.59</v>
      </c>
      <c r="I655" s="6">
        <v>390.89</v>
      </c>
      <c r="J655" s="8" t="s">
        <v>17</v>
      </c>
      <c r="K655" s="12">
        <v>0.25</v>
      </c>
      <c r="L655" s="8" t="s">
        <v>31</v>
      </c>
      <c r="M655" s="8" t="s">
        <v>19</v>
      </c>
      <c r="N655" s="10" t="s">
        <v>32</v>
      </c>
      <c r="O655" s="17">
        <f xml:space="preserve"> (Tabla1[[#This Row],[Unit_Price]] - Tabla1[[#This Row],[Unit_Cost]] ) * Tabla1[[#This Row],[Quantity_Sold]]</f>
        <v>11563.399999999998</v>
      </c>
      <c r="P655" s="12">
        <f>Tabla1[[#This Row],[Profit]] / Tabla1[[#This Row],[Sales_Calculated]]</f>
        <v>0.77847987924991668</v>
      </c>
      <c r="Q655" s="20">
        <f xml:space="preserve"> Tabla1[[#This Row],[Unit_Price]] * Tabla1[[#This Row],[Quantity_Sold]]</f>
        <v>14853.82</v>
      </c>
    </row>
    <row r="656" spans="1:17" x14ac:dyDescent="0.3">
      <c r="A656" s="2">
        <v>1075</v>
      </c>
      <c r="B656" s="1">
        <v>45153</v>
      </c>
      <c r="C656" s="8" t="s">
        <v>33</v>
      </c>
      <c r="D656" s="8" t="s">
        <v>15</v>
      </c>
      <c r="E656" s="6">
        <v>9972.11</v>
      </c>
      <c r="F656" s="2">
        <v>28</v>
      </c>
      <c r="G656" s="8" t="s">
        <v>29</v>
      </c>
      <c r="H656" s="6">
        <v>2570.2199999999998</v>
      </c>
      <c r="I656" s="6">
        <v>2610.8399999999901</v>
      </c>
      <c r="J656" s="8" t="s">
        <v>17</v>
      </c>
      <c r="K656" s="12">
        <v>0.27</v>
      </c>
      <c r="L656" s="8" t="s">
        <v>27</v>
      </c>
      <c r="M656" s="8" t="s">
        <v>22</v>
      </c>
      <c r="N656" s="10" t="s">
        <v>53</v>
      </c>
      <c r="O656" s="17">
        <f xml:space="preserve"> (Tabla1[[#This Row],[Unit_Price]] - Tabla1[[#This Row],[Unit_Cost]] ) * Tabla1[[#This Row],[Quantity_Sold]]</f>
        <v>1137.3599999997296</v>
      </c>
      <c r="P656" s="12">
        <f>Tabla1[[#This Row],[Profit]] / Tabla1[[#This Row],[Sales_Calculated]]</f>
        <v>1.5558211150430701E-2</v>
      </c>
      <c r="Q656" s="20">
        <f xml:space="preserve"> Tabla1[[#This Row],[Unit_Price]] * Tabla1[[#This Row],[Quantity_Sold]]</f>
        <v>73103.519999999728</v>
      </c>
    </row>
    <row r="657" spans="1:17" x14ac:dyDescent="0.3">
      <c r="A657" s="2">
        <v>1018</v>
      </c>
      <c r="B657" s="1">
        <v>45195</v>
      </c>
      <c r="C657" s="8" t="s">
        <v>24</v>
      </c>
      <c r="D657" s="8" t="s">
        <v>34</v>
      </c>
      <c r="E657" s="6">
        <v>5634.69</v>
      </c>
      <c r="F657" s="2">
        <v>25</v>
      </c>
      <c r="G657" s="8" t="s">
        <v>16</v>
      </c>
      <c r="H657" s="6">
        <v>739.63</v>
      </c>
      <c r="I657" s="6">
        <v>1103.03</v>
      </c>
      <c r="J657" s="8" t="s">
        <v>30</v>
      </c>
      <c r="K657" s="12">
        <v>0.26</v>
      </c>
      <c r="L657" s="8" t="s">
        <v>27</v>
      </c>
      <c r="M657" s="8" t="s">
        <v>22</v>
      </c>
      <c r="N657" s="10" t="s">
        <v>50</v>
      </c>
      <c r="O657" s="17">
        <f xml:space="preserve"> (Tabla1[[#This Row],[Unit_Price]] - Tabla1[[#This Row],[Unit_Cost]] ) * Tabla1[[#This Row],[Quantity_Sold]]</f>
        <v>9085</v>
      </c>
      <c r="P657" s="12">
        <f>Tabla1[[#This Row],[Profit]] / Tabla1[[#This Row],[Sales_Calculated]]</f>
        <v>0.329456134465971</v>
      </c>
      <c r="Q657" s="20">
        <f xml:space="preserve"> Tabla1[[#This Row],[Unit_Price]] * Tabla1[[#This Row],[Quantity_Sold]]</f>
        <v>27575.75</v>
      </c>
    </row>
    <row r="658" spans="1:17" x14ac:dyDescent="0.3">
      <c r="A658" s="2">
        <v>1076</v>
      </c>
      <c r="B658" s="1">
        <v>45046</v>
      </c>
      <c r="C658" s="8" t="s">
        <v>38</v>
      </c>
      <c r="D658" s="8" t="s">
        <v>21</v>
      </c>
      <c r="E658" s="6">
        <v>3279.51</v>
      </c>
      <c r="F658" s="2">
        <v>32</v>
      </c>
      <c r="G658" s="8" t="s">
        <v>29</v>
      </c>
      <c r="H658" s="6">
        <v>4337.82</v>
      </c>
      <c r="I658" s="6">
        <v>4460.71</v>
      </c>
      <c r="J658" s="8" t="s">
        <v>17</v>
      </c>
      <c r="K658" s="12">
        <v>0.3</v>
      </c>
      <c r="L658" s="8" t="s">
        <v>18</v>
      </c>
      <c r="M658" s="8" t="s">
        <v>22</v>
      </c>
      <c r="N658" s="10" t="s">
        <v>41</v>
      </c>
      <c r="O658" s="17">
        <f xml:space="preserve"> (Tabla1[[#This Row],[Unit_Price]] - Tabla1[[#This Row],[Unit_Cost]] ) * Tabla1[[#This Row],[Quantity_Sold]]</f>
        <v>3932.4800000000105</v>
      </c>
      <c r="P658" s="12">
        <f>Tabla1[[#This Row],[Profit]] / Tabla1[[#This Row],[Sales_Calculated]]</f>
        <v>2.7549425988239614E-2</v>
      </c>
      <c r="Q658" s="20">
        <f xml:space="preserve"> Tabla1[[#This Row],[Unit_Price]] * Tabla1[[#This Row],[Quantity_Sold]]</f>
        <v>142742.72</v>
      </c>
    </row>
    <row r="659" spans="1:17" x14ac:dyDescent="0.3">
      <c r="A659" s="2">
        <v>1009</v>
      </c>
      <c r="B659" s="1">
        <v>45015</v>
      </c>
      <c r="C659" s="8" t="s">
        <v>33</v>
      </c>
      <c r="D659" s="8" t="s">
        <v>25</v>
      </c>
      <c r="E659" s="6">
        <v>2279.1</v>
      </c>
      <c r="F659" s="2">
        <v>10</v>
      </c>
      <c r="G659" s="8" t="s">
        <v>29</v>
      </c>
      <c r="H659" s="6">
        <v>4364.3500000000004</v>
      </c>
      <c r="I659" s="6">
        <v>4710.1000000000004</v>
      </c>
      <c r="J659" s="8" t="s">
        <v>30</v>
      </c>
      <c r="K659" s="12">
        <v>7.0000000000000007E-2</v>
      </c>
      <c r="L659" s="8" t="s">
        <v>31</v>
      </c>
      <c r="M659" s="8" t="s">
        <v>19</v>
      </c>
      <c r="N659" s="10" t="s">
        <v>44</v>
      </c>
      <c r="O659" s="17">
        <f xml:space="preserve"> (Tabla1[[#This Row],[Unit_Price]] - Tabla1[[#This Row],[Unit_Cost]] ) * Tabla1[[#This Row],[Quantity_Sold]]</f>
        <v>3457.5</v>
      </c>
      <c r="P659" s="12">
        <f>Tabla1[[#This Row],[Profit]] / Tabla1[[#This Row],[Sales_Calculated]]</f>
        <v>7.3406084796501139E-2</v>
      </c>
      <c r="Q659" s="20">
        <f xml:space="preserve"> Tabla1[[#This Row],[Unit_Price]] * Tabla1[[#This Row],[Quantity_Sold]]</f>
        <v>47101</v>
      </c>
    </row>
    <row r="660" spans="1:17" x14ac:dyDescent="0.3">
      <c r="A660" s="2">
        <v>1074</v>
      </c>
      <c r="B660" s="1">
        <v>45255</v>
      </c>
      <c r="C660" s="8" t="s">
        <v>38</v>
      </c>
      <c r="D660" s="8" t="s">
        <v>15</v>
      </c>
      <c r="E660" s="6">
        <v>3570.15</v>
      </c>
      <c r="F660" s="2">
        <v>42</v>
      </c>
      <c r="G660" s="8" t="s">
        <v>16</v>
      </c>
      <c r="H660" s="6">
        <v>2120.81</v>
      </c>
      <c r="I660" s="6">
        <v>2611.94</v>
      </c>
      <c r="J660" s="8" t="s">
        <v>17</v>
      </c>
      <c r="K660" s="12">
        <v>0.23</v>
      </c>
      <c r="L660" s="8" t="s">
        <v>18</v>
      </c>
      <c r="M660" s="8" t="s">
        <v>19</v>
      </c>
      <c r="N660" s="10" t="s">
        <v>40</v>
      </c>
      <c r="O660" s="17">
        <f xml:space="preserve"> (Tabla1[[#This Row],[Unit_Price]] - Tabla1[[#This Row],[Unit_Cost]] ) * Tabla1[[#This Row],[Quantity_Sold]]</f>
        <v>20627.460000000006</v>
      </c>
      <c r="P660" s="12">
        <f>Tabla1[[#This Row],[Profit]] / Tabla1[[#This Row],[Sales_Calculated]]</f>
        <v>0.18803265006087436</v>
      </c>
      <c r="Q660" s="20">
        <f xml:space="preserve"> Tabla1[[#This Row],[Unit_Price]] * Tabla1[[#This Row],[Quantity_Sold]]</f>
        <v>109701.48</v>
      </c>
    </row>
    <row r="661" spans="1:17" x14ac:dyDescent="0.3">
      <c r="A661" s="2">
        <v>1058</v>
      </c>
      <c r="B661" s="1">
        <v>44994</v>
      </c>
      <c r="C661" s="8" t="s">
        <v>38</v>
      </c>
      <c r="D661" s="8" t="s">
        <v>25</v>
      </c>
      <c r="E661" s="6">
        <v>3788.08</v>
      </c>
      <c r="F661" s="2">
        <v>40</v>
      </c>
      <c r="G661" s="8" t="s">
        <v>16</v>
      </c>
      <c r="H661" s="6">
        <v>2249.7600000000002</v>
      </c>
      <c r="I661" s="6">
        <v>2598.4</v>
      </c>
      <c r="J661" s="8" t="s">
        <v>17</v>
      </c>
      <c r="K661" s="12">
        <v>0.18</v>
      </c>
      <c r="L661" s="8" t="s">
        <v>31</v>
      </c>
      <c r="M661" s="8" t="s">
        <v>22</v>
      </c>
      <c r="N661" s="10" t="s">
        <v>39</v>
      </c>
      <c r="O661" s="17">
        <f xml:space="preserve"> (Tabla1[[#This Row],[Unit_Price]] - Tabla1[[#This Row],[Unit_Cost]] ) * Tabla1[[#This Row],[Quantity_Sold]]</f>
        <v>13945.599999999995</v>
      </c>
      <c r="P661" s="12">
        <f>Tabla1[[#This Row],[Profit]] / Tabla1[[#This Row],[Sales_Calculated]]</f>
        <v>0.1341748768472906</v>
      </c>
      <c r="Q661" s="20">
        <f xml:space="preserve"> Tabla1[[#This Row],[Unit_Price]] * Tabla1[[#This Row],[Quantity_Sold]]</f>
        <v>103936</v>
      </c>
    </row>
    <row r="662" spans="1:17" x14ac:dyDescent="0.3">
      <c r="A662" s="2">
        <v>1017</v>
      </c>
      <c r="B662" s="1">
        <v>45283</v>
      </c>
      <c r="C662" s="8" t="s">
        <v>42</v>
      </c>
      <c r="D662" s="8" t="s">
        <v>34</v>
      </c>
      <c r="E662" s="6">
        <v>780.27</v>
      </c>
      <c r="F662" s="2">
        <v>33</v>
      </c>
      <c r="G662" s="8" t="s">
        <v>26</v>
      </c>
      <c r="H662" s="6">
        <v>1551.25</v>
      </c>
      <c r="I662" s="6">
        <v>1994.01</v>
      </c>
      <c r="J662" s="8" t="s">
        <v>17</v>
      </c>
      <c r="K662" s="12">
        <v>0.08</v>
      </c>
      <c r="L662" s="8" t="s">
        <v>18</v>
      </c>
      <c r="M662" s="8" t="s">
        <v>19</v>
      </c>
      <c r="N662" s="10" t="s">
        <v>52</v>
      </c>
      <c r="O662" s="17">
        <f xml:space="preserve"> (Tabla1[[#This Row],[Unit_Price]] - Tabla1[[#This Row],[Unit_Cost]] ) * Tabla1[[#This Row],[Quantity_Sold]]</f>
        <v>14611.08</v>
      </c>
      <c r="P662" s="12">
        <f>Tabla1[[#This Row],[Profit]] / Tabla1[[#This Row],[Sales_Calculated]]</f>
        <v>0.22204502484942401</v>
      </c>
      <c r="Q662" s="20">
        <f xml:space="preserve"> Tabla1[[#This Row],[Unit_Price]] * Tabla1[[#This Row],[Quantity_Sold]]</f>
        <v>65802.33</v>
      </c>
    </row>
    <row r="663" spans="1:17" x14ac:dyDescent="0.3">
      <c r="A663" s="2">
        <v>1007</v>
      </c>
      <c r="B663" s="1">
        <v>45024</v>
      </c>
      <c r="C663" s="8" t="s">
        <v>33</v>
      </c>
      <c r="D663" s="8" t="s">
        <v>34</v>
      </c>
      <c r="E663" s="6">
        <v>3758.78</v>
      </c>
      <c r="F663" s="2">
        <v>13</v>
      </c>
      <c r="G663" s="8" t="s">
        <v>29</v>
      </c>
      <c r="H663" s="6">
        <v>3597.2</v>
      </c>
      <c r="I663" s="6">
        <v>4071.8199999999902</v>
      </c>
      <c r="J663" s="8" t="s">
        <v>17</v>
      </c>
      <c r="K663" s="12">
        <v>0.28999999999999998</v>
      </c>
      <c r="L663" s="8" t="s">
        <v>27</v>
      </c>
      <c r="M663" s="8" t="s">
        <v>19</v>
      </c>
      <c r="N663" s="10" t="s">
        <v>36</v>
      </c>
      <c r="O663" s="17">
        <f xml:space="preserve"> (Tabla1[[#This Row],[Unit_Price]] - Tabla1[[#This Row],[Unit_Cost]] ) * Tabla1[[#This Row],[Quantity_Sold]]</f>
        <v>6170.059999999874</v>
      </c>
      <c r="P663" s="12">
        <f>Tabla1[[#This Row],[Profit]] / Tabla1[[#This Row],[Sales_Calculated]]</f>
        <v>0.11656212700954155</v>
      </c>
      <c r="Q663" s="20">
        <f xml:space="preserve"> Tabla1[[#This Row],[Unit_Price]] * Tabla1[[#This Row],[Quantity_Sold]]</f>
        <v>52933.659999999873</v>
      </c>
    </row>
    <row r="664" spans="1:17" x14ac:dyDescent="0.3">
      <c r="A664" s="2">
        <v>1046</v>
      </c>
      <c r="B664" s="1">
        <v>45193</v>
      </c>
      <c r="C664" s="8" t="s">
        <v>33</v>
      </c>
      <c r="D664" s="8" t="s">
        <v>21</v>
      </c>
      <c r="E664" s="6">
        <v>4695.96</v>
      </c>
      <c r="F664" s="2">
        <v>41</v>
      </c>
      <c r="G664" s="8" t="s">
        <v>29</v>
      </c>
      <c r="H664" s="6">
        <v>1825.37</v>
      </c>
      <c r="I664" s="6">
        <v>2073.88</v>
      </c>
      <c r="J664" s="8" t="s">
        <v>17</v>
      </c>
      <c r="K664" s="12">
        <v>0.27</v>
      </c>
      <c r="L664" s="8" t="s">
        <v>18</v>
      </c>
      <c r="M664" s="8" t="s">
        <v>22</v>
      </c>
      <c r="N664" s="10" t="s">
        <v>37</v>
      </c>
      <c r="O664" s="17">
        <f xml:space="preserve"> (Tabla1[[#This Row],[Unit_Price]] - Tabla1[[#This Row],[Unit_Cost]] ) * Tabla1[[#This Row],[Quantity_Sold]]</f>
        <v>10188.910000000009</v>
      </c>
      <c r="P664" s="12">
        <f>Tabla1[[#This Row],[Profit]] / Tabla1[[#This Row],[Sales_Calculated]]</f>
        <v>0.11982853395567739</v>
      </c>
      <c r="Q664" s="20">
        <f xml:space="preserve"> Tabla1[[#This Row],[Unit_Price]] * Tabla1[[#This Row],[Quantity_Sold]]</f>
        <v>85029.08</v>
      </c>
    </row>
    <row r="665" spans="1:17" x14ac:dyDescent="0.3">
      <c r="A665" s="2">
        <v>1013</v>
      </c>
      <c r="B665" s="1">
        <v>45031</v>
      </c>
      <c r="C665" s="8" t="s">
        <v>38</v>
      </c>
      <c r="D665" s="8" t="s">
        <v>15</v>
      </c>
      <c r="E665" s="6">
        <v>7255.1</v>
      </c>
      <c r="F665" s="2">
        <v>42</v>
      </c>
      <c r="G665" s="8" t="s">
        <v>16</v>
      </c>
      <c r="H665" s="6">
        <v>1375.57</v>
      </c>
      <c r="I665" s="6">
        <v>1729.71</v>
      </c>
      <c r="J665" s="8" t="s">
        <v>30</v>
      </c>
      <c r="K665" s="12">
        <v>0.04</v>
      </c>
      <c r="L665" s="8" t="s">
        <v>18</v>
      </c>
      <c r="M665" s="8" t="s">
        <v>19</v>
      </c>
      <c r="N665" s="10" t="s">
        <v>40</v>
      </c>
      <c r="O665" s="17">
        <f xml:space="preserve"> (Tabla1[[#This Row],[Unit_Price]] - Tabla1[[#This Row],[Unit_Cost]] ) * Tabla1[[#This Row],[Quantity_Sold]]</f>
        <v>14873.880000000005</v>
      </c>
      <c r="P665" s="12">
        <f>Tabla1[[#This Row],[Profit]] / Tabla1[[#This Row],[Sales_Calculated]]</f>
        <v>0.2047395228101821</v>
      </c>
      <c r="Q665" s="20">
        <f xml:space="preserve"> Tabla1[[#This Row],[Unit_Price]] * Tabla1[[#This Row],[Quantity_Sold]]</f>
        <v>72647.820000000007</v>
      </c>
    </row>
    <row r="666" spans="1:17" x14ac:dyDescent="0.3">
      <c r="A666" s="2">
        <v>1040</v>
      </c>
      <c r="B666" s="1">
        <v>45249</v>
      </c>
      <c r="C666" s="8" t="s">
        <v>24</v>
      </c>
      <c r="D666" s="8" t="s">
        <v>15</v>
      </c>
      <c r="E666" s="6">
        <v>6601.62</v>
      </c>
      <c r="F666" s="2">
        <v>47</v>
      </c>
      <c r="G666" s="8" t="s">
        <v>35</v>
      </c>
      <c r="H666" s="6">
        <v>2189.54</v>
      </c>
      <c r="I666" s="6">
        <v>2617</v>
      </c>
      <c r="J666" s="8" t="s">
        <v>30</v>
      </c>
      <c r="K666" s="12">
        <v>0.01</v>
      </c>
      <c r="L666" s="8" t="s">
        <v>27</v>
      </c>
      <c r="M666" s="8" t="s">
        <v>19</v>
      </c>
      <c r="N666" s="10" t="s">
        <v>45</v>
      </c>
      <c r="O666" s="17">
        <f xml:space="preserve"> (Tabla1[[#This Row],[Unit_Price]] - Tabla1[[#This Row],[Unit_Cost]] ) * Tabla1[[#This Row],[Quantity_Sold]]</f>
        <v>20090.620000000003</v>
      </c>
      <c r="P666" s="12">
        <f>Tabla1[[#This Row],[Profit]] / Tabla1[[#This Row],[Sales_Calculated]]</f>
        <v>0.16333970194879635</v>
      </c>
      <c r="Q666" s="20">
        <f xml:space="preserve"> Tabla1[[#This Row],[Unit_Price]] * Tabla1[[#This Row],[Quantity_Sold]]</f>
        <v>122999</v>
      </c>
    </row>
    <row r="667" spans="1:17" x14ac:dyDescent="0.3">
      <c r="A667" s="2">
        <v>1042</v>
      </c>
      <c r="B667" s="1">
        <v>45049</v>
      </c>
      <c r="C667" s="8" t="s">
        <v>42</v>
      </c>
      <c r="D667" s="8" t="s">
        <v>21</v>
      </c>
      <c r="E667" s="6">
        <v>7116.78</v>
      </c>
      <c r="F667" s="2">
        <v>37</v>
      </c>
      <c r="G667" s="8" t="s">
        <v>16</v>
      </c>
      <c r="H667" s="6">
        <v>502.86</v>
      </c>
      <c r="I667" s="6">
        <v>687.6</v>
      </c>
      <c r="J667" s="8" t="s">
        <v>17</v>
      </c>
      <c r="K667" s="12">
        <v>0.21</v>
      </c>
      <c r="L667" s="8" t="s">
        <v>18</v>
      </c>
      <c r="M667" s="8" t="s">
        <v>19</v>
      </c>
      <c r="N667" s="10" t="s">
        <v>51</v>
      </c>
      <c r="O667" s="17">
        <f xml:space="preserve"> (Tabla1[[#This Row],[Unit_Price]] - Tabla1[[#This Row],[Unit_Cost]] ) * Tabla1[[#This Row],[Quantity_Sold]]</f>
        <v>6835.38</v>
      </c>
      <c r="P667" s="12">
        <f>Tabla1[[#This Row],[Profit]] / Tabla1[[#This Row],[Sales_Calculated]]</f>
        <v>0.26867364746945899</v>
      </c>
      <c r="Q667" s="20">
        <f xml:space="preserve"> Tabla1[[#This Row],[Unit_Price]] * Tabla1[[#This Row],[Quantity_Sold]]</f>
        <v>25441.200000000001</v>
      </c>
    </row>
    <row r="668" spans="1:17" x14ac:dyDescent="0.3">
      <c r="A668" s="2">
        <v>1009</v>
      </c>
      <c r="B668" s="1">
        <v>44955</v>
      </c>
      <c r="C668" s="8" t="s">
        <v>38</v>
      </c>
      <c r="D668" s="8" t="s">
        <v>21</v>
      </c>
      <c r="E668" s="6">
        <v>182.8</v>
      </c>
      <c r="F668" s="2">
        <v>16</v>
      </c>
      <c r="G668" s="8" t="s">
        <v>29</v>
      </c>
      <c r="H668" s="6">
        <v>3745.69</v>
      </c>
      <c r="I668" s="6">
        <v>3883.77</v>
      </c>
      <c r="J668" s="8" t="s">
        <v>17</v>
      </c>
      <c r="K668" s="12">
        <v>0.18</v>
      </c>
      <c r="L668" s="8" t="s">
        <v>27</v>
      </c>
      <c r="M668" s="8" t="s">
        <v>22</v>
      </c>
      <c r="N668" s="10" t="s">
        <v>41</v>
      </c>
      <c r="O668" s="17">
        <f xml:space="preserve"> (Tabla1[[#This Row],[Unit_Price]] - Tabla1[[#This Row],[Unit_Cost]] ) * Tabla1[[#This Row],[Quantity_Sold]]</f>
        <v>2209.2799999999988</v>
      </c>
      <c r="P668" s="12">
        <f>Tabla1[[#This Row],[Profit]] / Tabla1[[#This Row],[Sales_Calculated]]</f>
        <v>3.5553083730498952E-2</v>
      </c>
      <c r="Q668" s="20">
        <f xml:space="preserve"> Tabla1[[#This Row],[Unit_Price]] * Tabla1[[#This Row],[Quantity_Sold]]</f>
        <v>62140.32</v>
      </c>
    </row>
    <row r="669" spans="1:17" x14ac:dyDescent="0.3">
      <c r="A669" s="2">
        <v>1050</v>
      </c>
      <c r="B669" s="1">
        <v>45063</v>
      </c>
      <c r="C669" s="8" t="s">
        <v>14</v>
      </c>
      <c r="D669" s="8" t="s">
        <v>15</v>
      </c>
      <c r="E669" s="6">
        <v>2254.91</v>
      </c>
      <c r="F669" s="2">
        <v>45</v>
      </c>
      <c r="G669" s="8" t="s">
        <v>16</v>
      </c>
      <c r="H669" s="6">
        <v>112.35</v>
      </c>
      <c r="I669" s="6">
        <v>586.17999999999995</v>
      </c>
      <c r="J669" s="8" t="s">
        <v>17</v>
      </c>
      <c r="K669" s="12">
        <v>0.28000000000000003</v>
      </c>
      <c r="L669" s="8" t="s">
        <v>31</v>
      </c>
      <c r="M669" s="8" t="s">
        <v>22</v>
      </c>
      <c r="N669" s="10" t="s">
        <v>20</v>
      </c>
      <c r="O669" s="17">
        <f xml:space="preserve"> (Tabla1[[#This Row],[Unit_Price]] - Tabla1[[#This Row],[Unit_Cost]] ) * Tabla1[[#This Row],[Quantity_Sold]]</f>
        <v>21322.35</v>
      </c>
      <c r="P669" s="12">
        <f>Tabla1[[#This Row],[Profit]] / Tabla1[[#This Row],[Sales_Calculated]]</f>
        <v>0.80833532362073079</v>
      </c>
      <c r="Q669" s="20">
        <f xml:space="preserve"> Tabla1[[#This Row],[Unit_Price]] * Tabla1[[#This Row],[Quantity_Sold]]</f>
        <v>26378.1</v>
      </c>
    </row>
    <row r="670" spans="1:17" x14ac:dyDescent="0.3">
      <c r="A670" s="2">
        <v>1027</v>
      </c>
      <c r="B670" s="1">
        <v>45121</v>
      </c>
      <c r="C670" s="8" t="s">
        <v>14</v>
      </c>
      <c r="D670" s="8" t="s">
        <v>25</v>
      </c>
      <c r="E670" s="6">
        <v>6650.67</v>
      </c>
      <c r="F670" s="2">
        <v>22</v>
      </c>
      <c r="G670" s="8" t="s">
        <v>26</v>
      </c>
      <c r="H670" s="6">
        <v>3240.2</v>
      </c>
      <c r="I670" s="6">
        <v>3606.0899999999901</v>
      </c>
      <c r="J670" s="8" t="s">
        <v>30</v>
      </c>
      <c r="K670" s="12">
        <v>7.0000000000000007E-2</v>
      </c>
      <c r="L670" s="8" t="s">
        <v>18</v>
      </c>
      <c r="M670" s="8" t="s">
        <v>19</v>
      </c>
      <c r="N670" s="10" t="s">
        <v>32</v>
      </c>
      <c r="O670" s="17">
        <f xml:space="preserve"> (Tabla1[[#This Row],[Unit_Price]] - Tabla1[[#This Row],[Unit_Cost]] ) * Tabla1[[#This Row],[Quantity_Sold]]</f>
        <v>8049.5799999997871</v>
      </c>
      <c r="P670" s="12">
        <f>Tabla1[[#This Row],[Profit]] / Tabla1[[#This Row],[Sales_Calculated]]</f>
        <v>0.10146446705434178</v>
      </c>
      <c r="Q670" s="20">
        <f xml:space="preserve"> Tabla1[[#This Row],[Unit_Price]] * Tabla1[[#This Row],[Quantity_Sold]]</f>
        <v>79333.979999999778</v>
      </c>
    </row>
    <row r="671" spans="1:17" x14ac:dyDescent="0.3">
      <c r="A671" s="2">
        <v>1066</v>
      </c>
      <c r="B671" s="1">
        <v>45152</v>
      </c>
      <c r="C671" s="8" t="s">
        <v>42</v>
      </c>
      <c r="D671" s="8" t="s">
        <v>25</v>
      </c>
      <c r="E671" s="6">
        <v>4891.49</v>
      </c>
      <c r="F671" s="2">
        <v>20</v>
      </c>
      <c r="G671" s="8" t="s">
        <v>35</v>
      </c>
      <c r="H671" s="6">
        <v>955.18</v>
      </c>
      <c r="I671" s="6">
        <v>1072.82</v>
      </c>
      <c r="J671" s="8" t="s">
        <v>30</v>
      </c>
      <c r="K671" s="12">
        <v>0.03</v>
      </c>
      <c r="L671" s="8" t="s">
        <v>27</v>
      </c>
      <c r="M671" s="8" t="s">
        <v>22</v>
      </c>
      <c r="N671" s="10" t="s">
        <v>43</v>
      </c>
      <c r="O671" s="17">
        <f xml:space="preserve"> (Tabla1[[#This Row],[Unit_Price]] - Tabla1[[#This Row],[Unit_Cost]] ) * Tabla1[[#This Row],[Quantity_Sold]]</f>
        <v>2352.7999999999997</v>
      </c>
      <c r="P671" s="12">
        <f>Tabla1[[#This Row],[Profit]] / Tabla1[[#This Row],[Sales_Calculated]]</f>
        <v>0.10965492813333085</v>
      </c>
      <c r="Q671" s="20">
        <f xml:space="preserve"> Tabla1[[#This Row],[Unit_Price]] * Tabla1[[#This Row],[Quantity_Sold]]</f>
        <v>21456.399999999998</v>
      </c>
    </row>
    <row r="672" spans="1:17" x14ac:dyDescent="0.3">
      <c r="A672" s="2">
        <v>1005</v>
      </c>
      <c r="B672" s="1">
        <v>45258</v>
      </c>
      <c r="C672" s="8" t="s">
        <v>24</v>
      </c>
      <c r="D672" s="8" t="s">
        <v>21</v>
      </c>
      <c r="E672" s="6">
        <v>152.6</v>
      </c>
      <c r="F672" s="2">
        <v>43</v>
      </c>
      <c r="G672" s="8" t="s">
        <v>16</v>
      </c>
      <c r="H672" s="6">
        <v>1200.4000000000001</v>
      </c>
      <c r="I672" s="6">
        <v>1430.45</v>
      </c>
      <c r="J672" s="8" t="s">
        <v>30</v>
      </c>
      <c r="K672" s="12">
        <v>0.08</v>
      </c>
      <c r="L672" s="8" t="s">
        <v>27</v>
      </c>
      <c r="M672" s="8" t="s">
        <v>22</v>
      </c>
      <c r="N672" s="10" t="s">
        <v>47</v>
      </c>
      <c r="O672" s="17">
        <f xml:space="preserve"> (Tabla1[[#This Row],[Unit_Price]] - Tabla1[[#This Row],[Unit_Cost]] ) * Tabla1[[#This Row],[Quantity_Sold]]</f>
        <v>9892.1499999999978</v>
      </c>
      <c r="P672" s="12">
        <f>Tabla1[[#This Row],[Profit]] / Tabla1[[#This Row],[Sales_Calculated]]</f>
        <v>0.16082351707504627</v>
      </c>
      <c r="Q672" s="20">
        <f xml:space="preserve"> Tabla1[[#This Row],[Unit_Price]] * Tabla1[[#This Row],[Quantity_Sold]]</f>
        <v>61509.35</v>
      </c>
    </row>
    <row r="673" spans="1:17" x14ac:dyDescent="0.3">
      <c r="A673" s="2">
        <v>1029</v>
      </c>
      <c r="B673" s="1">
        <v>45096</v>
      </c>
      <c r="C673" s="8" t="s">
        <v>38</v>
      </c>
      <c r="D673" s="8" t="s">
        <v>25</v>
      </c>
      <c r="E673" s="6">
        <v>8064.5</v>
      </c>
      <c r="F673" s="2">
        <v>27</v>
      </c>
      <c r="G673" s="8" t="s">
        <v>26</v>
      </c>
      <c r="H673" s="6">
        <v>3196.38</v>
      </c>
      <c r="I673" s="6">
        <v>3596.64</v>
      </c>
      <c r="J673" s="8" t="s">
        <v>30</v>
      </c>
      <c r="K673" s="12">
        <v>0.01</v>
      </c>
      <c r="L673" s="8" t="s">
        <v>18</v>
      </c>
      <c r="M673" s="8" t="s">
        <v>22</v>
      </c>
      <c r="N673" s="10" t="s">
        <v>39</v>
      </c>
      <c r="O673" s="17">
        <f xml:space="preserve"> (Tabla1[[#This Row],[Unit_Price]] - Tabla1[[#This Row],[Unit_Cost]] ) * Tabla1[[#This Row],[Quantity_Sold]]</f>
        <v>10807.019999999993</v>
      </c>
      <c r="P673" s="12">
        <f>Tabla1[[#This Row],[Profit]] / Tabla1[[#This Row],[Sales_Calculated]]</f>
        <v>0.11128720138796203</v>
      </c>
      <c r="Q673" s="20">
        <f xml:space="preserve"> Tabla1[[#This Row],[Unit_Price]] * Tabla1[[#This Row],[Quantity_Sold]]</f>
        <v>97109.28</v>
      </c>
    </row>
    <row r="674" spans="1:17" x14ac:dyDescent="0.3">
      <c r="A674" s="2">
        <v>1037</v>
      </c>
      <c r="B674" s="1">
        <v>44935</v>
      </c>
      <c r="C674" s="8" t="s">
        <v>33</v>
      </c>
      <c r="D674" s="8" t="s">
        <v>15</v>
      </c>
      <c r="E674" s="6">
        <v>7750.81</v>
      </c>
      <c r="F674" s="2">
        <v>41</v>
      </c>
      <c r="G674" s="8" t="s">
        <v>29</v>
      </c>
      <c r="H674" s="6">
        <v>4965.07</v>
      </c>
      <c r="I674" s="6">
        <v>5243.13</v>
      </c>
      <c r="J674" s="8" t="s">
        <v>30</v>
      </c>
      <c r="K674" s="12">
        <v>0.01</v>
      </c>
      <c r="L674" s="8" t="s">
        <v>31</v>
      </c>
      <c r="M674" s="8" t="s">
        <v>19</v>
      </c>
      <c r="N674" s="10" t="s">
        <v>53</v>
      </c>
      <c r="O674" s="17">
        <f xml:space="preserve"> (Tabla1[[#This Row],[Unit_Price]] - Tabla1[[#This Row],[Unit_Cost]] ) * Tabla1[[#This Row],[Quantity_Sold]]</f>
        <v>11400.460000000017</v>
      </c>
      <c r="P674" s="12">
        <f>Tabla1[[#This Row],[Profit]] / Tabla1[[#This Row],[Sales_Calculated]]</f>
        <v>5.3033207263600252E-2</v>
      </c>
      <c r="Q674" s="20">
        <f xml:space="preserve"> Tabla1[[#This Row],[Unit_Price]] * Tabla1[[#This Row],[Quantity_Sold]]</f>
        <v>214968.33000000002</v>
      </c>
    </row>
    <row r="675" spans="1:17" x14ac:dyDescent="0.3">
      <c r="A675" s="2">
        <v>1038</v>
      </c>
      <c r="B675" s="1">
        <v>44966</v>
      </c>
      <c r="C675" s="8" t="s">
        <v>42</v>
      </c>
      <c r="D675" s="8" t="s">
        <v>34</v>
      </c>
      <c r="E675" s="6">
        <v>5529.35</v>
      </c>
      <c r="F675" s="2">
        <v>16</v>
      </c>
      <c r="G675" s="8" t="s">
        <v>16</v>
      </c>
      <c r="H675" s="6">
        <v>3899.7</v>
      </c>
      <c r="I675" s="6">
        <v>4228.18</v>
      </c>
      <c r="J675" s="8" t="s">
        <v>30</v>
      </c>
      <c r="K675" s="12">
        <v>0.27</v>
      </c>
      <c r="L675" s="8" t="s">
        <v>18</v>
      </c>
      <c r="M675" s="8" t="s">
        <v>22</v>
      </c>
      <c r="N675" s="10" t="s">
        <v>52</v>
      </c>
      <c r="O675" s="17">
        <f xml:space="preserve"> (Tabla1[[#This Row],[Unit_Price]] - Tabla1[[#This Row],[Unit_Cost]] ) * Tabla1[[#This Row],[Quantity_Sold]]</f>
        <v>5255.6800000000076</v>
      </c>
      <c r="P675" s="12">
        <f>Tabla1[[#This Row],[Profit]] / Tabla1[[#This Row],[Sales_Calculated]]</f>
        <v>7.768827249549462E-2</v>
      </c>
      <c r="Q675" s="20">
        <f xml:space="preserve"> Tabla1[[#This Row],[Unit_Price]] * Tabla1[[#This Row],[Quantity_Sold]]</f>
        <v>67650.880000000005</v>
      </c>
    </row>
    <row r="676" spans="1:17" x14ac:dyDescent="0.3">
      <c r="A676" s="2">
        <v>1083</v>
      </c>
      <c r="B676" s="1">
        <v>44951</v>
      </c>
      <c r="C676" s="8" t="s">
        <v>24</v>
      </c>
      <c r="D676" s="8" t="s">
        <v>34</v>
      </c>
      <c r="E676" s="6">
        <v>757.99</v>
      </c>
      <c r="F676" s="2">
        <v>34</v>
      </c>
      <c r="G676" s="8" t="s">
        <v>29</v>
      </c>
      <c r="H676" s="6">
        <v>1167.9100000000001</v>
      </c>
      <c r="I676" s="6">
        <v>1547.26</v>
      </c>
      <c r="J676" s="8" t="s">
        <v>30</v>
      </c>
      <c r="K676" s="12">
        <v>0.11</v>
      </c>
      <c r="L676" s="8" t="s">
        <v>27</v>
      </c>
      <c r="M676" s="8" t="s">
        <v>19</v>
      </c>
      <c r="N676" s="10" t="s">
        <v>50</v>
      </c>
      <c r="O676" s="17">
        <f xml:space="preserve"> (Tabla1[[#This Row],[Unit_Price]] - Tabla1[[#This Row],[Unit_Cost]] ) * Tabla1[[#This Row],[Quantity_Sold]]</f>
        <v>12897.899999999998</v>
      </c>
      <c r="P676" s="12">
        <f>Tabla1[[#This Row],[Profit]] / Tabla1[[#This Row],[Sales_Calculated]]</f>
        <v>0.24517534221785606</v>
      </c>
      <c r="Q676" s="20">
        <f xml:space="preserve"> Tabla1[[#This Row],[Unit_Price]] * Tabla1[[#This Row],[Quantity_Sold]]</f>
        <v>52606.84</v>
      </c>
    </row>
    <row r="677" spans="1:17" x14ac:dyDescent="0.3">
      <c r="A677" s="2">
        <v>1008</v>
      </c>
      <c r="B677" s="1">
        <v>45187</v>
      </c>
      <c r="C677" s="8" t="s">
        <v>33</v>
      </c>
      <c r="D677" s="8" t="s">
        <v>25</v>
      </c>
      <c r="E677" s="6">
        <v>7688.5</v>
      </c>
      <c r="F677" s="2">
        <v>32</v>
      </c>
      <c r="G677" s="8" t="s">
        <v>26</v>
      </c>
      <c r="H677" s="6">
        <v>921.32</v>
      </c>
      <c r="I677" s="6">
        <v>1236.0999999999999</v>
      </c>
      <c r="J677" s="8" t="s">
        <v>30</v>
      </c>
      <c r="K677" s="12">
        <v>0.12</v>
      </c>
      <c r="L677" s="8" t="s">
        <v>31</v>
      </c>
      <c r="M677" s="8" t="s">
        <v>19</v>
      </c>
      <c r="N677" s="10" t="s">
        <v>44</v>
      </c>
      <c r="O677" s="17">
        <f xml:space="preserve"> (Tabla1[[#This Row],[Unit_Price]] - Tabla1[[#This Row],[Unit_Cost]] ) * Tabla1[[#This Row],[Quantity_Sold]]</f>
        <v>10072.959999999995</v>
      </c>
      <c r="P677" s="12">
        <f>Tabla1[[#This Row],[Profit]] / Tabla1[[#This Row],[Sales_Calculated]]</f>
        <v>0.2546557721867162</v>
      </c>
      <c r="Q677" s="20">
        <f xml:space="preserve"> Tabla1[[#This Row],[Unit_Price]] * Tabla1[[#This Row],[Quantity_Sold]]</f>
        <v>39555.199999999997</v>
      </c>
    </row>
    <row r="678" spans="1:17" x14ac:dyDescent="0.3">
      <c r="A678" s="2">
        <v>1065</v>
      </c>
      <c r="B678" s="1">
        <v>45152</v>
      </c>
      <c r="C678" s="8" t="s">
        <v>14</v>
      </c>
      <c r="D678" s="8" t="s">
        <v>21</v>
      </c>
      <c r="E678" s="6">
        <v>5878.76</v>
      </c>
      <c r="F678" s="2">
        <v>26</v>
      </c>
      <c r="G678" s="8" t="s">
        <v>29</v>
      </c>
      <c r="H678" s="6">
        <v>4337.8500000000004</v>
      </c>
      <c r="I678" s="6">
        <v>4612.49</v>
      </c>
      <c r="J678" s="8" t="s">
        <v>17</v>
      </c>
      <c r="K678" s="12">
        <v>0.01</v>
      </c>
      <c r="L678" s="8" t="s">
        <v>18</v>
      </c>
      <c r="M678" s="8" t="s">
        <v>22</v>
      </c>
      <c r="N678" s="10" t="s">
        <v>23</v>
      </c>
      <c r="O678" s="17">
        <f xml:space="preserve"> (Tabla1[[#This Row],[Unit_Price]] - Tabla1[[#This Row],[Unit_Cost]] ) * Tabla1[[#This Row],[Quantity_Sold]]</f>
        <v>7140.6399999999849</v>
      </c>
      <c r="P678" s="12">
        <f>Tabla1[[#This Row],[Profit]] / Tabla1[[#This Row],[Sales_Calculated]]</f>
        <v>5.9542676515287718E-2</v>
      </c>
      <c r="Q678" s="20">
        <f xml:space="preserve"> Tabla1[[#This Row],[Unit_Price]] * Tabla1[[#This Row],[Quantity_Sold]]</f>
        <v>119924.73999999999</v>
      </c>
    </row>
    <row r="679" spans="1:17" x14ac:dyDescent="0.3">
      <c r="A679" s="2">
        <v>1086</v>
      </c>
      <c r="B679" s="1">
        <v>45050</v>
      </c>
      <c r="C679" s="8" t="s">
        <v>14</v>
      </c>
      <c r="D679" s="8" t="s">
        <v>21</v>
      </c>
      <c r="E679" s="6">
        <v>7841.4</v>
      </c>
      <c r="F679" s="2">
        <v>25</v>
      </c>
      <c r="G679" s="8" t="s">
        <v>26</v>
      </c>
      <c r="H679" s="6">
        <v>2248.71</v>
      </c>
      <c r="I679" s="6">
        <v>2626.02</v>
      </c>
      <c r="J679" s="8" t="s">
        <v>30</v>
      </c>
      <c r="K679" s="12">
        <v>0.08</v>
      </c>
      <c r="L679" s="8" t="s">
        <v>27</v>
      </c>
      <c r="M679" s="8" t="s">
        <v>19</v>
      </c>
      <c r="N679" s="10" t="s">
        <v>23</v>
      </c>
      <c r="O679" s="17">
        <f xml:space="preserve"> (Tabla1[[#This Row],[Unit_Price]] - Tabla1[[#This Row],[Unit_Cost]] ) * Tabla1[[#This Row],[Quantity_Sold]]</f>
        <v>9432.7499999999982</v>
      </c>
      <c r="P679" s="12">
        <f>Tabla1[[#This Row],[Profit]] / Tabla1[[#This Row],[Sales_Calculated]]</f>
        <v>0.14368131240432286</v>
      </c>
      <c r="Q679" s="20">
        <f xml:space="preserve"> Tabla1[[#This Row],[Unit_Price]] * Tabla1[[#This Row],[Quantity_Sold]]</f>
        <v>65650.5</v>
      </c>
    </row>
    <row r="680" spans="1:17" x14ac:dyDescent="0.3">
      <c r="A680" s="2">
        <v>1017</v>
      </c>
      <c r="B680" s="1">
        <v>44964</v>
      </c>
      <c r="C680" s="8" t="s">
        <v>33</v>
      </c>
      <c r="D680" s="8" t="s">
        <v>21</v>
      </c>
      <c r="E680" s="6">
        <v>7542.3</v>
      </c>
      <c r="F680" s="2">
        <v>2</v>
      </c>
      <c r="G680" s="8" t="s">
        <v>26</v>
      </c>
      <c r="H680" s="6">
        <v>728.41</v>
      </c>
      <c r="I680" s="6">
        <v>1094.92</v>
      </c>
      <c r="J680" s="8" t="s">
        <v>30</v>
      </c>
      <c r="K680" s="12">
        <v>0.24</v>
      </c>
      <c r="L680" s="8" t="s">
        <v>18</v>
      </c>
      <c r="M680" s="8" t="s">
        <v>22</v>
      </c>
      <c r="N680" s="10" t="s">
        <v>37</v>
      </c>
      <c r="O680" s="17">
        <f xml:space="preserve"> (Tabla1[[#This Row],[Unit_Price]] - Tabla1[[#This Row],[Unit_Cost]] ) * Tabla1[[#This Row],[Quantity_Sold]]</f>
        <v>733.02000000000021</v>
      </c>
      <c r="P680" s="12">
        <f>Tabla1[[#This Row],[Profit]] / Tabla1[[#This Row],[Sales_Calculated]]</f>
        <v>0.33473678442260629</v>
      </c>
      <c r="Q680" s="20">
        <f xml:space="preserve"> Tabla1[[#This Row],[Unit_Price]] * Tabla1[[#This Row],[Quantity_Sold]]</f>
        <v>2189.84</v>
      </c>
    </row>
    <row r="681" spans="1:17" x14ac:dyDescent="0.3">
      <c r="A681" s="2">
        <v>1071</v>
      </c>
      <c r="B681" s="1">
        <v>45254</v>
      </c>
      <c r="C681" s="8" t="s">
        <v>42</v>
      </c>
      <c r="D681" s="8" t="s">
        <v>21</v>
      </c>
      <c r="E681" s="6">
        <v>8049.72</v>
      </c>
      <c r="F681" s="2">
        <v>12</v>
      </c>
      <c r="G681" s="8" t="s">
        <v>26</v>
      </c>
      <c r="H681" s="6">
        <v>4317.95</v>
      </c>
      <c r="I681" s="6">
        <v>4636.59</v>
      </c>
      <c r="J681" s="8" t="s">
        <v>30</v>
      </c>
      <c r="K681" s="12">
        <v>0.18</v>
      </c>
      <c r="L681" s="8" t="s">
        <v>31</v>
      </c>
      <c r="M681" s="8" t="s">
        <v>22</v>
      </c>
      <c r="N681" s="10" t="s">
        <v>51</v>
      </c>
      <c r="O681" s="17">
        <f xml:space="preserve"> (Tabla1[[#This Row],[Unit_Price]] - Tabla1[[#This Row],[Unit_Cost]] ) * Tabla1[[#This Row],[Quantity_Sold]]</f>
        <v>3823.6800000000039</v>
      </c>
      <c r="P681" s="12">
        <f>Tabla1[[#This Row],[Profit]] / Tabla1[[#This Row],[Sales_Calculated]]</f>
        <v>6.8722919214336473E-2</v>
      </c>
      <c r="Q681" s="20">
        <f xml:space="preserve"> Tabla1[[#This Row],[Unit_Price]] * Tabla1[[#This Row],[Quantity_Sold]]</f>
        <v>55639.08</v>
      </c>
    </row>
    <row r="682" spans="1:17" x14ac:dyDescent="0.3">
      <c r="A682" s="2">
        <v>1089</v>
      </c>
      <c r="B682" s="1">
        <v>45177</v>
      </c>
      <c r="C682" s="8" t="s">
        <v>14</v>
      </c>
      <c r="D682" s="8" t="s">
        <v>21</v>
      </c>
      <c r="E682" s="6">
        <v>5228.28</v>
      </c>
      <c r="F682" s="2">
        <v>40</v>
      </c>
      <c r="G682" s="8" t="s">
        <v>16</v>
      </c>
      <c r="H682" s="6">
        <v>4089.66</v>
      </c>
      <c r="I682" s="6">
        <v>4275.96</v>
      </c>
      <c r="J682" s="8" t="s">
        <v>30</v>
      </c>
      <c r="K682" s="12">
        <v>0.23</v>
      </c>
      <c r="L682" s="8" t="s">
        <v>31</v>
      </c>
      <c r="M682" s="8" t="s">
        <v>19</v>
      </c>
      <c r="N682" s="10" t="s">
        <v>23</v>
      </c>
      <c r="O682" s="17">
        <f xml:space="preserve"> (Tabla1[[#This Row],[Unit_Price]] - Tabla1[[#This Row],[Unit_Cost]] ) * Tabla1[[#This Row],[Quantity_Sold]]</f>
        <v>7452.0000000000073</v>
      </c>
      <c r="P682" s="12">
        <f>Tabla1[[#This Row],[Profit]] / Tabla1[[#This Row],[Sales_Calculated]]</f>
        <v>4.3569163415934711E-2</v>
      </c>
      <c r="Q682" s="20">
        <f xml:space="preserve"> Tabla1[[#This Row],[Unit_Price]] * Tabla1[[#This Row],[Quantity_Sold]]</f>
        <v>171038.4</v>
      </c>
    </row>
    <row r="683" spans="1:17" x14ac:dyDescent="0.3">
      <c r="A683" s="2">
        <v>1045</v>
      </c>
      <c r="B683" s="1">
        <v>45102</v>
      </c>
      <c r="C683" s="8" t="s">
        <v>38</v>
      </c>
      <c r="D683" s="8" t="s">
        <v>25</v>
      </c>
      <c r="E683" s="6">
        <v>1489.21</v>
      </c>
      <c r="F683" s="2">
        <v>9</v>
      </c>
      <c r="G683" s="8" t="s">
        <v>29</v>
      </c>
      <c r="H683" s="6">
        <v>4920.34</v>
      </c>
      <c r="I683" s="6">
        <v>5129.1899999999996</v>
      </c>
      <c r="J683" s="8" t="s">
        <v>17</v>
      </c>
      <c r="K683" s="12">
        <v>0.13</v>
      </c>
      <c r="L683" s="8" t="s">
        <v>31</v>
      </c>
      <c r="M683" s="8" t="s">
        <v>19</v>
      </c>
      <c r="N683" s="10" t="s">
        <v>39</v>
      </c>
      <c r="O683" s="17">
        <f xml:space="preserve"> (Tabla1[[#This Row],[Unit_Price]] - Tabla1[[#This Row],[Unit_Cost]] ) * Tabla1[[#This Row],[Quantity_Sold]]</f>
        <v>1879.6499999999951</v>
      </c>
      <c r="P683" s="12">
        <f>Tabla1[[#This Row],[Profit]] / Tabla1[[#This Row],[Sales_Calculated]]</f>
        <v>4.0717930121520057E-2</v>
      </c>
      <c r="Q683" s="20">
        <f xml:space="preserve"> Tabla1[[#This Row],[Unit_Price]] * Tabla1[[#This Row],[Quantity_Sold]]</f>
        <v>46162.71</v>
      </c>
    </row>
    <row r="684" spans="1:17" x14ac:dyDescent="0.3">
      <c r="A684" s="2">
        <v>1004</v>
      </c>
      <c r="B684" s="1">
        <v>45016</v>
      </c>
      <c r="C684" s="8" t="s">
        <v>33</v>
      </c>
      <c r="D684" s="8" t="s">
        <v>34</v>
      </c>
      <c r="E684" s="6">
        <v>6744.46</v>
      </c>
      <c r="F684" s="2">
        <v>12</v>
      </c>
      <c r="G684" s="8" t="s">
        <v>29</v>
      </c>
      <c r="H684" s="6">
        <v>4553.2299999999996</v>
      </c>
      <c r="I684" s="6">
        <v>5038.74</v>
      </c>
      <c r="J684" s="8" t="s">
        <v>30</v>
      </c>
      <c r="K684" s="12">
        <v>0.09</v>
      </c>
      <c r="L684" s="8" t="s">
        <v>31</v>
      </c>
      <c r="M684" s="8" t="s">
        <v>22</v>
      </c>
      <c r="N684" s="10" t="s">
        <v>36</v>
      </c>
      <c r="O684" s="17">
        <f xml:space="preserve"> (Tabla1[[#This Row],[Unit_Price]] - Tabla1[[#This Row],[Unit_Cost]] ) * Tabla1[[#This Row],[Quantity_Sold]]</f>
        <v>5826.1200000000026</v>
      </c>
      <c r="P684" s="12">
        <f>Tabla1[[#This Row],[Profit]] / Tabla1[[#This Row],[Sales_Calculated]]</f>
        <v>9.6355438065865717E-2</v>
      </c>
      <c r="Q684" s="20">
        <f xml:space="preserve"> Tabla1[[#This Row],[Unit_Price]] * Tabla1[[#This Row],[Quantity_Sold]]</f>
        <v>60464.88</v>
      </c>
    </row>
    <row r="685" spans="1:17" x14ac:dyDescent="0.3">
      <c r="A685" s="2">
        <v>1036</v>
      </c>
      <c r="B685" s="1">
        <v>44963</v>
      </c>
      <c r="C685" s="8" t="s">
        <v>33</v>
      </c>
      <c r="D685" s="8" t="s">
        <v>34</v>
      </c>
      <c r="E685" s="6">
        <v>6242.69</v>
      </c>
      <c r="F685" s="2">
        <v>26</v>
      </c>
      <c r="G685" s="8" t="s">
        <v>35</v>
      </c>
      <c r="H685" s="6">
        <v>4266.3599999999997</v>
      </c>
      <c r="I685" s="6">
        <v>4331.4299999999903</v>
      </c>
      <c r="J685" s="8" t="s">
        <v>17</v>
      </c>
      <c r="K685" s="12">
        <v>0.14000000000000001</v>
      </c>
      <c r="L685" s="8" t="s">
        <v>31</v>
      </c>
      <c r="M685" s="8" t="s">
        <v>22</v>
      </c>
      <c r="N685" s="10" t="s">
        <v>36</v>
      </c>
      <c r="O685" s="17">
        <f xml:space="preserve"> (Tabla1[[#This Row],[Unit_Price]] - Tabla1[[#This Row],[Unit_Cost]] ) * Tabla1[[#This Row],[Quantity_Sold]]</f>
        <v>1691.819999999756</v>
      </c>
      <c r="P685" s="12">
        <f>Tabla1[[#This Row],[Profit]] / Tabla1[[#This Row],[Sales_Calculated]]</f>
        <v>1.5022752301200934E-2</v>
      </c>
      <c r="Q685" s="20">
        <f xml:space="preserve"> Tabla1[[#This Row],[Unit_Price]] * Tabla1[[#This Row],[Quantity_Sold]]</f>
        <v>112617.17999999975</v>
      </c>
    </row>
    <row r="686" spans="1:17" x14ac:dyDescent="0.3">
      <c r="A686" s="2">
        <v>1070</v>
      </c>
      <c r="B686" s="1">
        <v>45242</v>
      </c>
      <c r="C686" s="8" t="s">
        <v>14</v>
      </c>
      <c r="D686" s="8" t="s">
        <v>25</v>
      </c>
      <c r="E686" s="6">
        <v>7448.31</v>
      </c>
      <c r="F686" s="2">
        <v>9</v>
      </c>
      <c r="G686" s="8" t="s">
        <v>35</v>
      </c>
      <c r="H686" s="6">
        <v>310.24</v>
      </c>
      <c r="I686" s="6">
        <v>451.81</v>
      </c>
      <c r="J686" s="8" t="s">
        <v>17</v>
      </c>
      <c r="K686" s="12">
        <v>0.1</v>
      </c>
      <c r="L686" s="8" t="s">
        <v>18</v>
      </c>
      <c r="M686" s="8" t="s">
        <v>22</v>
      </c>
      <c r="N686" s="10" t="s">
        <v>32</v>
      </c>
      <c r="O686" s="17">
        <f xml:space="preserve"> (Tabla1[[#This Row],[Unit_Price]] - Tabla1[[#This Row],[Unit_Cost]] ) * Tabla1[[#This Row],[Quantity_Sold]]</f>
        <v>1274.1299999999999</v>
      </c>
      <c r="P686" s="12">
        <f>Tabla1[[#This Row],[Profit]] / Tabla1[[#This Row],[Sales_Calculated]]</f>
        <v>0.3133396781833071</v>
      </c>
      <c r="Q686" s="20">
        <f xml:space="preserve"> Tabla1[[#This Row],[Unit_Price]] * Tabla1[[#This Row],[Quantity_Sold]]</f>
        <v>4066.29</v>
      </c>
    </row>
    <row r="687" spans="1:17" x14ac:dyDescent="0.3">
      <c r="A687" s="2">
        <v>1031</v>
      </c>
      <c r="B687" s="1">
        <v>45102</v>
      </c>
      <c r="C687" s="8" t="s">
        <v>42</v>
      </c>
      <c r="D687" s="8" t="s">
        <v>21</v>
      </c>
      <c r="E687" s="6">
        <v>1781.82</v>
      </c>
      <c r="F687" s="2">
        <v>10</v>
      </c>
      <c r="G687" s="8" t="s">
        <v>35</v>
      </c>
      <c r="H687" s="6">
        <v>566.86</v>
      </c>
      <c r="I687" s="6">
        <v>818.14</v>
      </c>
      <c r="J687" s="8" t="s">
        <v>17</v>
      </c>
      <c r="K687" s="12">
        <v>0.25</v>
      </c>
      <c r="L687" s="8" t="s">
        <v>31</v>
      </c>
      <c r="M687" s="8" t="s">
        <v>22</v>
      </c>
      <c r="N687" s="10" t="s">
        <v>51</v>
      </c>
      <c r="O687" s="17">
        <f xml:space="preserve"> (Tabla1[[#This Row],[Unit_Price]] - Tabla1[[#This Row],[Unit_Cost]] ) * Tabla1[[#This Row],[Quantity_Sold]]</f>
        <v>2512.7999999999997</v>
      </c>
      <c r="P687" s="12">
        <f>Tabla1[[#This Row],[Profit]] / Tabla1[[#This Row],[Sales_Calculated]]</f>
        <v>0.30713569804678903</v>
      </c>
      <c r="Q687" s="20">
        <f xml:space="preserve"> Tabla1[[#This Row],[Unit_Price]] * Tabla1[[#This Row],[Quantity_Sold]]</f>
        <v>8181.4</v>
      </c>
    </row>
    <row r="688" spans="1:17" x14ac:dyDescent="0.3">
      <c r="A688" s="2">
        <v>1019</v>
      </c>
      <c r="B688" s="1">
        <v>45210</v>
      </c>
      <c r="C688" s="8" t="s">
        <v>38</v>
      </c>
      <c r="D688" s="8" t="s">
        <v>25</v>
      </c>
      <c r="E688" s="6">
        <v>2030.25</v>
      </c>
      <c r="F688" s="2">
        <v>32</v>
      </c>
      <c r="G688" s="8" t="s">
        <v>35</v>
      </c>
      <c r="H688" s="6">
        <v>2866.47</v>
      </c>
      <c r="I688" s="6">
        <v>3286.47</v>
      </c>
      <c r="J688" s="8" t="s">
        <v>30</v>
      </c>
      <c r="K688" s="12">
        <v>0.09</v>
      </c>
      <c r="L688" s="8" t="s">
        <v>31</v>
      </c>
      <c r="M688" s="8" t="s">
        <v>19</v>
      </c>
      <c r="N688" s="10" t="s">
        <v>39</v>
      </c>
      <c r="O688" s="17">
        <f xml:space="preserve"> (Tabla1[[#This Row],[Unit_Price]] - Tabla1[[#This Row],[Unit_Cost]] ) * Tabla1[[#This Row],[Quantity_Sold]]</f>
        <v>13440</v>
      </c>
      <c r="P688" s="12">
        <f>Tabla1[[#This Row],[Profit]] / Tabla1[[#This Row],[Sales_Calculated]]</f>
        <v>0.12779669371696684</v>
      </c>
      <c r="Q688" s="20">
        <f xml:space="preserve"> Tabla1[[#This Row],[Unit_Price]] * Tabla1[[#This Row],[Quantity_Sold]]</f>
        <v>105167.03999999999</v>
      </c>
    </row>
    <row r="689" spans="1:17" x14ac:dyDescent="0.3">
      <c r="A689" s="2">
        <v>1061</v>
      </c>
      <c r="B689" s="1">
        <v>45007</v>
      </c>
      <c r="C689" s="8" t="s">
        <v>42</v>
      </c>
      <c r="D689" s="8" t="s">
        <v>34</v>
      </c>
      <c r="E689" s="6">
        <v>8915.0499999999993</v>
      </c>
      <c r="F689" s="2">
        <v>34</v>
      </c>
      <c r="G689" s="8" t="s">
        <v>29</v>
      </c>
      <c r="H689" s="6">
        <v>2680.82</v>
      </c>
      <c r="I689" s="6">
        <v>2771.02</v>
      </c>
      <c r="J689" s="8" t="s">
        <v>30</v>
      </c>
      <c r="K689" s="12">
        <v>0.2</v>
      </c>
      <c r="L689" s="8" t="s">
        <v>27</v>
      </c>
      <c r="M689" s="8" t="s">
        <v>19</v>
      </c>
      <c r="N689" s="10" t="s">
        <v>52</v>
      </c>
      <c r="O689" s="17">
        <f xml:space="preserve"> (Tabla1[[#This Row],[Unit_Price]] - Tabla1[[#This Row],[Unit_Cost]] ) * Tabla1[[#This Row],[Quantity_Sold]]</f>
        <v>3066.7999999999938</v>
      </c>
      <c r="P689" s="12">
        <f>Tabla1[[#This Row],[Profit]] / Tabla1[[#This Row],[Sales_Calculated]]</f>
        <v>3.255119053633674E-2</v>
      </c>
      <c r="Q689" s="20">
        <f xml:space="preserve"> Tabla1[[#This Row],[Unit_Price]] * Tabla1[[#This Row],[Quantity_Sold]]</f>
        <v>94214.68</v>
      </c>
    </row>
    <row r="690" spans="1:17" x14ac:dyDescent="0.3">
      <c r="A690" s="2">
        <v>1054</v>
      </c>
      <c r="B690" s="1">
        <v>45040</v>
      </c>
      <c r="C690" s="8" t="s">
        <v>24</v>
      </c>
      <c r="D690" s="8" t="s">
        <v>15</v>
      </c>
      <c r="E690" s="6">
        <v>7524.78</v>
      </c>
      <c r="F690" s="2">
        <v>48</v>
      </c>
      <c r="G690" s="8" t="s">
        <v>26</v>
      </c>
      <c r="H690" s="6">
        <v>2316.92</v>
      </c>
      <c r="I690" s="6">
        <v>2462.63</v>
      </c>
      <c r="J690" s="8" t="s">
        <v>30</v>
      </c>
      <c r="K690" s="12">
        <v>0.04</v>
      </c>
      <c r="L690" s="8" t="s">
        <v>31</v>
      </c>
      <c r="M690" s="8" t="s">
        <v>19</v>
      </c>
      <c r="N690" s="10" t="s">
        <v>45</v>
      </c>
      <c r="O690" s="17">
        <f xml:space="preserve"> (Tabla1[[#This Row],[Unit_Price]] - Tabla1[[#This Row],[Unit_Cost]] ) * Tabla1[[#This Row],[Quantity_Sold]]</f>
        <v>6994.0800000000017</v>
      </c>
      <c r="P690" s="12">
        <f>Tabla1[[#This Row],[Profit]] / Tabla1[[#This Row],[Sales_Calculated]]</f>
        <v>5.9168449990457367E-2</v>
      </c>
      <c r="Q690" s="20">
        <f xml:space="preserve"> Tabla1[[#This Row],[Unit_Price]] * Tabla1[[#This Row],[Quantity_Sold]]</f>
        <v>118206.24</v>
      </c>
    </row>
    <row r="691" spans="1:17" x14ac:dyDescent="0.3">
      <c r="A691" s="2">
        <v>1039</v>
      </c>
      <c r="B691" s="1">
        <v>44966</v>
      </c>
      <c r="C691" s="8" t="s">
        <v>24</v>
      </c>
      <c r="D691" s="8" t="s">
        <v>25</v>
      </c>
      <c r="E691" s="6">
        <v>9091.4599999999991</v>
      </c>
      <c r="F691" s="2">
        <v>20</v>
      </c>
      <c r="G691" s="8" t="s">
        <v>26</v>
      </c>
      <c r="H691" s="6">
        <v>2014.11</v>
      </c>
      <c r="I691" s="6">
        <v>2056.35</v>
      </c>
      <c r="J691" s="8" t="s">
        <v>17</v>
      </c>
      <c r="K691" s="12">
        <v>0.21</v>
      </c>
      <c r="L691" s="8" t="s">
        <v>27</v>
      </c>
      <c r="M691" s="8" t="s">
        <v>22</v>
      </c>
      <c r="N691" s="10" t="s">
        <v>28</v>
      </c>
      <c r="O691" s="17">
        <f xml:space="preserve"> (Tabla1[[#This Row],[Unit_Price]] - Tabla1[[#This Row],[Unit_Cost]] ) * Tabla1[[#This Row],[Quantity_Sold]]</f>
        <v>844.80000000000018</v>
      </c>
      <c r="P691" s="12">
        <f>Tabla1[[#This Row],[Profit]] / Tabla1[[#This Row],[Sales_Calculated]]</f>
        <v>2.0541250273542932E-2</v>
      </c>
      <c r="Q691" s="20">
        <f xml:space="preserve"> Tabla1[[#This Row],[Unit_Price]] * Tabla1[[#This Row],[Quantity_Sold]]</f>
        <v>41127</v>
      </c>
    </row>
    <row r="692" spans="1:17" x14ac:dyDescent="0.3">
      <c r="A692" s="2">
        <v>1091</v>
      </c>
      <c r="B692" s="1">
        <v>45227</v>
      </c>
      <c r="C692" s="8" t="s">
        <v>14</v>
      </c>
      <c r="D692" s="8" t="s">
        <v>21</v>
      </c>
      <c r="E692" s="6">
        <v>7611.28</v>
      </c>
      <c r="F692" s="2">
        <v>39</v>
      </c>
      <c r="G692" s="8" t="s">
        <v>16</v>
      </c>
      <c r="H692" s="6">
        <v>2184.4899999999998</v>
      </c>
      <c r="I692" s="6">
        <v>2540.4199999999901</v>
      </c>
      <c r="J692" s="8" t="s">
        <v>17</v>
      </c>
      <c r="K692" s="12">
        <v>0.27</v>
      </c>
      <c r="L692" s="8" t="s">
        <v>27</v>
      </c>
      <c r="M692" s="8" t="s">
        <v>19</v>
      </c>
      <c r="N692" s="10" t="s">
        <v>23</v>
      </c>
      <c r="O692" s="17">
        <f xml:space="preserve"> (Tabla1[[#This Row],[Unit_Price]] - Tabla1[[#This Row],[Unit_Cost]] ) * Tabla1[[#This Row],[Quantity_Sold]]</f>
        <v>13881.269999999622</v>
      </c>
      <c r="P692" s="12">
        <f>Tabla1[[#This Row],[Profit]] / Tabla1[[#This Row],[Sales_Calculated]]</f>
        <v>0.1401067540013036</v>
      </c>
      <c r="Q692" s="20">
        <f xml:space="preserve"> Tabla1[[#This Row],[Unit_Price]] * Tabla1[[#This Row],[Quantity_Sold]]</f>
        <v>99076.379999999612</v>
      </c>
    </row>
    <row r="693" spans="1:17" x14ac:dyDescent="0.3">
      <c r="A693" s="2">
        <v>1074</v>
      </c>
      <c r="B693" s="1">
        <v>45150</v>
      </c>
      <c r="C693" s="8" t="s">
        <v>14</v>
      </c>
      <c r="D693" s="8" t="s">
        <v>34</v>
      </c>
      <c r="E693" s="6">
        <v>6011.84</v>
      </c>
      <c r="F693" s="2">
        <v>2</v>
      </c>
      <c r="G693" s="8" t="s">
        <v>26</v>
      </c>
      <c r="H693" s="6">
        <v>2868.02</v>
      </c>
      <c r="I693" s="6">
        <v>2994.74</v>
      </c>
      <c r="J693" s="8" t="s">
        <v>17</v>
      </c>
      <c r="K693" s="12">
        <v>0.18</v>
      </c>
      <c r="L693" s="8" t="s">
        <v>27</v>
      </c>
      <c r="M693" s="8" t="s">
        <v>19</v>
      </c>
      <c r="N693" s="10" t="s">
        <v>46</v>
      </c>
      <c r="O693" s="17">
        <f xml:space="preserve"> (Tabla1[[#This Row],[Unit_Price]] - Tabla1[[#This Row],[Unit_Cost]] ) * Tabla1[[#This Row],[Quantity_Sold]]</f>
        <v>253.4399999999996</v>
      </c>
      <c r="P693" s="12">
        <f>Tabla1[[#This Row],[Profit]] / Tabla1[[#This Row],[Sales_Calculated]]</f>
        <v>4.2314190881345227E-2</v>
      </c>
      <c r="Q693" s="20">
        <f xml:space="preserve"> Tabla1[[#This Row],[Unit_Price]] * Tabla1[[#This Row],[Quantity_Sold]]</f>
        <v>5989.48</v>
      </c>
    </row>
    <row r="694" spans="1:17" x14ac:dyDescent="0.3">
      <c r="A694" s="2">
        <v>1090</v>
      </c>
      <c r="B694" s="1">
        <v>45244</v>
      </c>
      <c r="C694" s="8" t="s">
        <v>14</v>
      </c>
      <c r="D694" s="8" t="s">
        <v>34</v>
      </c>
      <c r="E694" s="6">
        <v>6575.91</v>
      </c>
      <c r="F694" s="2">
        <v>1</v>
      </c>
      <c r="G694" s="8" t="s">
        <v>29</v>
      </c>
      <c r="H694" s="6">
        <v>60.28</v>
      </c>
      <c r="I694" s="6">
        <v>260.73</v>
      </c>
      <c r="J694" s="8" t="s">
        <v>17</v>
      </c>
      <c r="K694" s="12">
        <v>0.17</v>
      </c>
      <c r="L694" s="8" t="s">
        <v>18</v>
      </c>
      <c r="M694" s="8" t="s">
        <v>19</v>
      </c>
      <c r="N694" s="10" t="s">
        <v>46</v>
      </c>
      <c r="O694" s="17">
        <f xml:space="preserve"> (Tabla1[[#This Row],[Unit_Price]] - Tabla1[[#This Row],[Unit_Cost]] ) * Tabla1[[#This Row],[Quantity_Sold]]</f>
        <v>200.45000000000002</v>
      </c>
      <c r="P694" s="12">
        <f>Tabla1[[#This Row],[Profit]] / Tabla1[[#This Row],[Sales_Calculated]]</f>
        <v>0.76880297625896521</v>
      </c>
      <c r="Q694" s="20">
        <f xml:space="preserve"> Tabla1[[#This Row],[Unit_Price]] * Tabla1[[#This Row],[Quantity_Sold]]</f>
        <v>260.73</v>
      </c>
    </row>
    <row r="695" spans="1:17" x14ac:dyDescent="0.3">
      <c r="A695" s="2">
        <v>1019</v>
      </c>
      <c r="B695" s="1">
        <v>45275</v>
      </c>
      <c r="C695" s="8" t="s">
        <v>24</v>
      </c>
      <c r="D695" s="8" t="s">
        <v>34</v>
      </c>
      <c r="E695" s="6">
        <v>8902.3700000000008</v>
      </c>
      <c r="F695" s="2">
        <v>36</v>
      </c>
      <c r="G695" s="8" t="s">
        <v>29</v>
      </c>
      <c r="H695" s="6">
        <v>1340.51</v>
      </c>
      <c r="I695" s="6">
        <v>1567.92</v>
      </c>
      <c r="J695" s="8" t="s">
        <v>30</v>
      </c>
      <c r="K695" s="12">
        <v>0.28999999999999998</v>
      </c>
      <c r="L695" s="8" t="s">
        <v>18</v>
      </c>
      <c r="M695" s="8" t="s">
        <v>19</v>
      </c>
      <c r="N695" s="10" t="s">
        <v>50</v>
      </c>
      <c r="O695" s="17">
        <f xml:space="preserve"> (Tabla1[[#This Row],[Unit_Price]] - Tabla1[[#This Row],[Unit_Cost]] ) * Tabla1[[#This Row],[Quantity_Sold]]</f>
        <v>8186.7600000000029</v>
      </c>
      <c r="P695" s="12">
        <f>Tabla1[[#This Row],[Profit]] / Tabla1[[#This Row],[Sales_Calculated]]</f>
        <v>0.14503928771876121</v>
      </c>
      <c r="Q695" s="20">
        <f xml:space="preserve"> Tabla1[[#This Row],[Unit_Price]] * Tabla1[[#This Row],[Quantity_Sold]]</f>
        <v>56445.120000000003</v>
      </c>
    </row>
    <row r="696" spans="1:17" x14ac:dyDescent="0.3">
      <c r="A696" s="2">
        <v>1039</v>
      </c>
      <c r="B696" s="1">
        <v>45041</v>
      </c>
      <c r="C696" s="8" t="s">
        <v>42</v>
      </c>
      <c r="D696" s="8" t="s">
        <v>34</v>
      </c>
      <c r="E696" s="6">
        <v>5830.19</v>
      </c>
      <c r="F696" s="2">
        <v>24</v>
      </c>
      <c r="G696" s="8" t="s">
        <v>29</v>
      </c>
      <c r="H696" s="6">
        <v>2615.48</v>
      </c>
      <c r="I696" s="6">
        <v>3062.22</v>
      </c>
      <c r="J696" s="8" t="s">
        <v>30</v>
      </c>
      <c r="K696" s="12">
        <v>0.19</v>
      </c>
      <c r="L696" s="8" t="s">
        <v>27</v>
      </c>
      <c r="M696" s="8" t="s">
        <v>22</v>
      </c>
      <c r="N696" s="10" t="s">
        <v>52</v>
      </c>
      <c r="O696" s="17">
        <f xml:space="preserve"> (Tabla1[[#This Row],[Unit_Price]] - Tabla1[[#This Row],[Unit_Cost]] ) * Tabla1[[#This Row],[Quantity_Sold]]</f>
        <v>10721.759999999995</v>
      </c>
      <c r="P696" s="12">
        <f>Tabla1[[#This Row],[Profit]] / Tabla1[[#This Row],[Sales_Calculated]]</f>
        <v>0.14588762401133812</v>
      </c>
      <c r="Q696" s="20">
        <f xml:space="preserve"> Tabla1[[#This Row],[Unit_Price]] * Tabla1[[#This Row],[Quantity_Sold]]</f>
        <v>73493.279999999999</v>
      </c>
    </row>
    <row r="697" spans="1:17" x14ac:dyDescent="0.3">
      <c r="A697" s="2">
        <v>1067</v>
      </c>
      <c r="B697" s="1">
        <v>45112</v>
      </c>
      <c r="C697" s="8" t="s">
        <v>42</v>
      </c>
      <c r="D697" s="8" t="s">
        <v>21</v>
      </c>
      <c r="E697" s="6">
        <v>6360.67</v>
      </c>
      <c r="F697" s="2">
        <v>27</v>
      </c>
      <c r="G697" s="8" t="s">
        <v>16</v>
      </c>
      <c r="H697" s="6">
        <v>3624.97</v>
      </c>
      <c r="I697" s="6">
        <v>3836.52</v>
      </c>
      <c r="J697" s="8" t="s">
        <v>30</v>
      </c>
      <c r="K697" s="12">
        <v>0.08</v>
      </c>
      <c r="L697" s="8" t="s">
        <v>18</v>
      </c>
      <c r="M697" s="8" t="s">
        <v>19</v>
      </c>
      <c r="N697" s="10" t="s">
        <v>51</v>
      </c>
      <c r="O697" s="17">
        <f xml:space="preserve"> (Tabla1[[#This Row],[Unit_Price]] - Tabla1[[#This Row],[Unit_Cost]] ) * Tabla1[[#This Row],[Quantity_Sold]]</f>
        <v>5711.8500000000049</v>
      </c>
      <c r="P697" s="12">
        <f>Tabla1[[#This Row],[Profit]] / Tabla1[[#This Row],[Sales_Calculated]]</f>
        <v>5.5141117471041515E-2</v>
      </c>
      <c r="Q697" s="20">
        <f xml:space="preserve"> Tabla1[[#This Row],[Unit_Price]] * Tabla1[[#This Row],[Quantity_Sold]]</f>
        <v>103586.04</v>
      </c>
    </row>
    <row r="698" spans="1:17" x14ac:dyDescent="0.3">
      <c r="A698" s="2">
        <v>1045</v>
      </c>
      <c r="B698" s="1">
        <v>45249</v>
      </c>
      <c r="C698" s="8" t="s">
        <v>14</v>
      </c>
      <c r="D698" s="8" t="s">
        <v>15</v>
      </c>
      <c r="E698" s="6">
        <v>1649.12</v>
      </c>
      <c r="F698" s="2">
        <v>2</v>
      </c>
      <c r="G698" s="8" t="s">
        <v>35</v>
      </c>
      <c r="H698" s="6">
        <v>912.08</v>
      </c>
      <c r="I698" s="6">
        <v>993.24</v>
      </c>
      <c r="J698" s="8" t="s">
        <v>17</v>
      </c>
      <c r="K698" s="12">
        <v>0.09</v>
      </c>
      <c r="L698" s="8" t="s">
        <v>31</v>
      </c>
      <c r="M698" s="8" t="s">
        <v>19</v>
      </c>
      <c r="N698" s="10" t="s">
        <v>20</v>
      </c>
      <c r="O698" s="17">
        <f xml:space="preserve"> (Tabla1[[#This Row],[Unit_Price]] - Tabla1[[#This Row],[Unit_Cost]] ) * Tabla1[[#This Row],[Quantity_Sold]]</f>
        <v>162.31999999999994</v>
      </c>
      <c r="P698" s="12">
        <f>Tabla1[[#This Row],[Profit]] / Tabla1[[#This Row],[Sales_Calculated]]</f>
        <v>8.1712375659457909E-2</v>
      </c>
      <c r="Q698" s="20">
        <f xml:space="preserve"> Tabla1[[#This Row],[Unit_Price]] * Tabla1[[#This Row],[Quantity_Sold]]</f>
        <v>1986.48</v>
      </c>
    </row>
    <row r="699" spans="1:17" x14ac:dyDescent="0.3">
      <c r="A699" s="2">
        <v>1013</v>
      </c>
      <c r="B699" s="1">
        <v>44982</v>
      </c>
      <c r="C699" s="8" t="s">
        <v>38</v>
      </c>
      <c r="D699" s="8" t="s">
        <v>34</v>
      </c>
      <c r="E699" s="6">
        <v>4791.82</v>
      </c>
      <c r="F699" s="2">
        <v>31</v>
      </c>
      <c r="G699" s="8" t="s">
        <v>26</v>
      </c>
      <c r="H699" s="6">
        <v>2757.06</v>
      </c>
      <c r="I699" s="6">
        <v>3023.97</v>
      </c>
      <c r="J699" s="8" t="s">
        <v>17</v>
      </c>
      <c r="K699" s="12">
        <v>0.21</v>
      </c>
      <c r="L699" s="8" t="s">
        <v>18</v>
      </c>
      <c r="M699" s="8" t="s">
        <v>19</v>
      </c>
      <c r="N699" s="10" t="s">
        <v>48</v>
      </c>
      <c r="O699" s="17">
        <f xml:space="preserve"> (Tabla1[[#This Row],[Unit_Price]] - Tabla1[[#This Row],[Unit_Cost]] ) * Tabla1[[#This Row],[Quantity_Sold]]</f>
        <v>8274.2099999999955</v>
      </c>
      <c r="P699" s="12">
        <f>Tabla1[[#This Row],[Profit]] / Tabla1[[#This Row],[Sales_Calculated]]</f>
        <v>8.8264764531394119E-2</v>
      </c>
      <c r="Q699" s="20">
        <f xml:space="preserve"> Tabla1[[#This Row],[Unit_Price]] * Tabla1[[#This Row],[Quantity_Sold]]</f>
        <v>93743.069999999992</v>
      </c>
    </row>
    <row r="700" spans="1:17" x14ac:dyDescent="0.3">
      <c r="A700" s="2">
        <v>1092</v>
      </c>
      <c r="B700" s="1">
        <v>44966</v>
      </c>
      <c r="C700" s="8" t="s">
        <v>42</v>
      </c>
      <c r="D700" s="8" t="s">
        <v>25</v>
      </c>
      <c r="E700" s="6">
        <v>7192.33</v>
      </c>
      <c r="F700" s="2">
        <v>14</v>
      </c>
      <c r="G700" s="8" t="s">
        <v>29</v>
      </c>
      <c r="H700" s="6">
        <v>3586.58</v>
      </c>
      <c r="I700" s="6">
        <v>4068.43</v>
      </c>
      <c r="J700" s="8" t="s">
        <v>30</v>
      </c>
      <c r="K700" s="12">
        <v>0.22</v>
      </c>
      <c r="L700" s="8" t="s">
        <v>31</v>
      </c>
      <c r="M700" s="8" t="s">
        <v>19</v>
      </c>
      <c r="N700" s="10" t="s">
        <v>43</v>
      </c>
      <c r="O700" s="17">
        <f xml:space="preserve"> (Tabla1[[#This Row],[Unit_Price]] - Tabla1[[#This Row],[Unit_Cost]] ) * Tabla1[[#This Row],[Quantity_Sold]]</f>
        <v>6745.8999999999987</v>
      </c>
      <c r="P700" s="12">
        <f>Tabla1[[#This Row],[Profit]] / Tabla1[[#This Row],[Sales_Calculated]]</f>
        <v>0.11843635013998027</v>
      </c>
      <c r="Q700" s="20">
        <f xml:space="preserve"> Tabla1[[#This Row],[Unit_Price]] * Tabla1[[#This Row],[Quantity_Sold]]</f>
        <v>56958.02</v>
      </c>
    </row>
    <row r="701" spans="1:17" x14ac:dyDescent="0.3">
      <c r="A701" s="2">
        <v>1058</v>
      </c>
      <c r="B701" s="1">
        <v>45280</v>
      </c>
      <c r="C701" s="8" t="s">
        <v>24</v>
      </c>
      <c r="D701" s="8" t="s">
        <v>15</v>
      </c>
      <c r="E701" s="6">
        <v>2782.33</v>
      </c>
      <c r="F701" s="2">
        <v>2</v>
      </c>
      <c r="G701" s="8" t="s">
        <v>29</v>
      </c>
      <c r="H701" s="6">
        <v>2250.91</v>
      </c>
      <c r="I701" s="6">
        <v>2558.6799999999998</v>
      </c>
      <c r="J701" s="8" t="s">
        <v>30</v>
      </c>
      <c r="K701" s="12">
        <v>0.09</v>
      </c>
      <c r="L701" s="8" t="s">
        <v>31</v>
      </c>
      <c r="M701" s="8" t="s">
        <v>22</v>
      </c>
      <c r="N701" s="10" t="s">
        <v>45</v>
      </c>
      <c r="O701" s="17">
        <f xml:space="preserve"> (Tabla1[[#This Row],[Unit_Price]] - Tabla1[[#This Row],[Unit_Cost]] ) * Tabla1[[#This Row],[Quantity_Sold]]</f>
        <v>615.54</v>
      </c>
      <c r="P701" s="12">
        <f>Tabla1[[#This Row],[Profit]] / Tabla1[[#This Row],[Sales_Calculated]]</f>
        <v>0.12028467803711289</v>
      </c>
      <c r="Q701" s="20">
        <f xml:space="preserve"> Tabla1[[#This Row],[Unit_Price]] * Tabla1[[#This Row],[Quantity_Sold]]</f>
        <v>5117.3599999999997</v>
      </c>
    </row>
    <row r="702" spans="1:17" x14ac:dyDescent="0.3">
      <c r="A702" s="2">
        <v>1020</v>
      </c>
      <c r="B702" s="1">
        <v>44966</v>
      </c>
      <c r="C702" s="8" t="s">
        <v>33</v>
      </c>
      <c r="D702" s="8" t="s">
        <v>34</v>
      </c>
      <c r="E702" s="6">
        <v>2102.3200000000002</v>
      </c>
      <c r="F702" s="2">
        <v>29</v>
      </c>
      <c r="G702" s="8" t="s">
        <v>35</v>
      </c>
      <c r="H702" s="6">
        <v>184.05</v>
      </c>
      <c r="I702" s="6">
        <v>675.91</v>
      </c>
      <c r="J702" s="8" t="s">
        <v>17</v>
      </c>
      <c r="K702" s="12">
        <v>0.1</v>
      </c>
      <c r="L702" s="8" t="s">
        <v>18</v>
      </c>
      <c r="M702" s="8" t="s">
        <v>22</v>
      </c>
      <c r="N702" s="10" t="s">
        <v>36</v>
      </c>
      <c r="O702" s="17">
        <f xml:space="preserve"> (Tabla1[[#This Row],[Unit_Price]] - Tabla1[[#This Row],[Unit_Cost]] ) * Tabla1[[#This Row],[Quantity_Sold]]</f>
        <v>14263.939999999999</v>
      </c>
      <c r="P702" s="12">
        <f>Tabla1[[#This Row],[Profit]] / Tabla1[[#This Row],[Sales_Calculated]]</f>
        <v>0.72770043348966573</v>
      </c>
      <c r="Q702" s="20">
        <f xml:space="preserve"> Tabla1[[#This Row],[Unit_Price]] * Tabla1[[#This Row],[Quantity_Sold]]</f>
        <v>19601.39</v>
      </c>
    </row>
    <row r="703" spans="1:17" x14ac:dyDescent="0.3">
      <c r="A703" s="2">
        <v>1092</v>
      </c>
      <c r="B703" s="1">
        <v>45273</v>
      </c>
      <c r="C703" s="8" t="s">
        <v>33</v>
      </c>
      <c r="D703" s="8" t="s">
        <v>15</v>
      </c>
      <c r="E703" s="6">
        <v>3206.89</v>
      </c>
      <c r="F703" s="2">
        <v>15</v>
      </c>
      <c r="G703" s="8" t="s">
        <v>29</v>
      </c>
      <c r="H703" s="6">
        <v>2273.88</v>
      </c>
      <c r="I703" s="6">
        <v>2696.02</v>
      </c>
      <c r="J703" s="8" t="s">
        <v>30</v>
      </c>
      <c r="K703" s="12">
        <v>0.3</v>
      </c>
      <c r="L703" s="8" t="s">
        <v>18</v>
      </c>
      <c r="M703" s="8" t="s">
        <v>19</v>
      </c>
      <c r="N703" s="10" t="s">
        <v>53</v>
      </c>
      <c r="O703" s="17">
        <f xml:space="preserve"> (Tabla1[[#This Row],[Unit_Price]] - Tabla1[[#This Row],[Unit_Cost]] ) * Tabla1[[#This Row],[Quantity_Sold]]</f>
        <v>6332.0999999999985</v>
      </c>
      <c r="P703" s="12">
        <f>Tabla1[[#This Row],[Profit]] / Tabla1[[#This Row],[Sales_Calculated]]</f>
        <v>0.15657895712939809</v>
      </c>
      <c r="Q703" s="20">
        <f xml:space="preserve"> Tabla1[[#This Row],[Unit_Price]] * Tabla1[[#This Row],[Quantity_Sold]]</f>
        <v>40440.300000000003</v>
      </c>
    </row>
    <row r="704" spans="1:17" x14ac:dyDescent="0.3">
      <c r="A704" s="2">
        <v>1072</v>
      </c>
      <c r="B704" s="1">
        <v>45163</v>
      </c>
      <c r="C704" s="8" t="s">
        <v>33</v>
      </c>
      <c r="D704" s="8" t="s">
        <v>25</v>
      </c>
      <c r="E704" s="6">
        <v>2490.86</v>
      </c>
      <c r="F704" s="2">
        <v>12</v>
      </c>
      <c r="G704" s="8" t="s">
        <v>26</v>
      </c>
      <c r="H704" s="6">
        <v>1517.4</v>
      </c>
      <c r="I704" s="6">
        <v>1545.02</v>
      </c>
      <c r="J704" s="8" t="s">
        <v>30</v>
      </c>
      <c r="K704" s="12">
        <v>0.03</v>
      </c>
      <c r="L704" s="8" t="s">
        <v>27</v>
      </c>
      <c r="M704" s="8" t="s">
        <v>22</v>
      </c>
      <c r="N704" s="10" t="s">
        <v>44</v>
      </c>
      <c r="O704" s="17">
        <f xml:space="preserve"> (Tabla1[[#This Row],[Unit_Price]] - Tabla1[[#This Row],[Unit_Cost]] ) * Tabla1[[#This Row],[Quantity_Sold]]</f>
        <v>331.43999999999869</v>
      </c>
      <c r="P704" s="12">
        <f>Tabla1[[#This Row],[Profit]] / Tabla1[[#This Row],[Sales_Calculated]]</f>
        <v>1.7876791238948295E-2</v>
      </c>
      <c r="Q704" s="20">
        <f xml:space="preserve"> Tabla1[[#This Row],[Unit_Price]] * Tabla1[[#This Row],[Quantity_Sold]]</f>
        <v>18540.239999999998</v>
      </c>
    </row>
    <row r="705" spans="1:17" x14ac:dyDescent="0.3">
      <c r="A705" s="2">
        <v>1061</v>
      </c>
      <c r="B705" s="1">
        <v>45215</v>
      </c>
      <c r="C705" s="8" t="s">
        <v>38</v>
      </c>
      <c r="D705" s="8" t="s">
        <v>34</v>
      </c>
      <c r="E705" s="6">
        <v>2227.64</v>
      </c>
      <c r="F705" s="2">
        <v>37</v>
      </c>
      <c r="G705" s="8" t="s">
        <v>16</v>
      </c>
      <c r="H705" s="6">
        <v>4651.7700000000004</v>
      </c>
      <c r="I705" s="6">
        <v>4984.3900000000003</v>
      </c>
      <c r="J705" s="8" t="s">
        <v>17</v>
      </c>
      <c r="K705" s="12">
        <v>0.12</v>
      </c>
      <c r="L705" s="8" t="s">
        <v>18</v>
      </c>
      <c r="M705" s="8" t="s">
        <v>22</v>
      </c>
      <c r="N705" s="10" t="s">
        <v>48</v>
      </c>
      <c r="O705" s="17">
        <f xml:space="preserve"> (Tabla1[[#This Row],[Unit_Price]] - Tabla1[[#This Row],[Unit_Cost]] ) * Tabla1[[#This Row],[Quantity_Sold]]</f>
        <v>12306.939999999995</v>
      </c>
      <c r="P705" s="12">
        <f>Tabla1[[#This Row],[Profit]] / Tabla1[[#This Row],[Sales_Calculated]]</f>
        <v>6.6732338360361007E-2</v>
      </c>
      <c r="Q705" s="20">
        <f xml:space="preserve"> Tabla1[[#This Row],[Unit_Price]] * Tabla1[[#This Row],[Quantity_Sold]]</f>
        <v>184422.43000000002</v>
      </c>
    </row>
    <row r="706" spans="1:17" x14ac:dyDescent="0.3">
      <c r="A706" s="2">
        <v>1039</v>
      </c>
      <c r="B706" s="1">
        <v>45188</v>
      </c>
      <c r="C706" s="8" t="s">
        <v>14</v>
      </c>
      <c r="D706" s="8" t="s">
        <v>25</v>
      </c>
      <c r="E706" s="6">
        <v>4306.0200000000004</v>
      </c>
      <c r="F706" s="2">
        <v>28</v>
      </c>
      <c r="G706" s="8" t="s">
        <v>29</v>
      </c>
      <c r="H706" s="6">
        <v>666.84</v>
      </c>
      <c r="I706" s="6">
        <v>817.36</v>
      </c>
      <c r="J706" s="8" t="s">
        <v>17</v>
      </c>
      <c r="K706" s="12">
        <v>0.02</v>
      </c>
      <c r="L706" s="8" t="s">
        <v>18</v>
      </c>
      <c r="M706" s="8" t="s">
        <v>22</v>
      </c>
      <c r="N706" s="10" t="s">
        <v>32</v>
      </c>
      <c r="O706" s="17">
        <f xml:space="preserve"> (Tabla1[[#This Row],[Unit_Price]] - Tabla1[[#This Row],[Unit_Cost]] ) * Tabla1[[#This Row],[Quantity_Sold]]</f>
        <v>4214.5599999999995</v>
      </c>
      <c r="P706" s="12">
        <f>Tabla1[[#This Row],[Profit]] / Tabla1[[#This Row],[Sales_Calculated]]</f>
        <v>0.18415386121170593</v>
      </c>
      <c r="Q706" s="20">
        <f xml:space="preserve"> Tabla1[[#This Row],[Unit_Price]] * Tabla1[[#This Row],[Quantity_Sold]]</f>
        <v>22886.080000000002</v>
      </c>
    </row>
    <row r="707" spans="1:17" x14ac:dyDescent="0.3">
      <c r="A707" s="2">
        <v>1001</v>
      </c>
      <c r="B707" s="1">
        <v>45142</v>
      </c>
      <c r="C707" s="8" t="s">
        <v>24</v>
      </c>
      <c r="D707" s="8" t="s">
        <v>21</v>
      </c>
      <c r="E707" s="6">
        <v>9087.6</v>
      </c>
      <c r="F707" s="2">
        <v>20</v>
      </c>
      <c r="G707" s="8" t="s">
        <v>26</v>
      </c>
      <c r="H707" s="6">
        <v>3279.76</v>
      </c>
      <c r="I707" s="6">
        <v>3563.97</v>
      </c>
      <c r="J707" s="8" t="s">
        <v>17</v>
      </c>
      <c r="K707" s="12">
        <v>0.25</v>
      </c>
      <c r="L707" s="8" t="s">
        <v>18</v>
      </c>
      <c r="M707" s="8" t="s">
        <v>22</v>
      </c>
      <c r="N707" s="10" t="s">
        <v>47</v>
      </c>
      <c r="O707" s="17">
        <f xml:space="preserve"> (Tabla1[[#This Row],[Unit_Price]] - Tabla1[[#This Row],[Unit_Cost]] ) * Tabla1[[#This Row],[Quantity_Sold]]</f>
        <v>5684.1999999999916</v>
      </c>
      <c r="P707" s="12">
        <f>Tabla1[[#This Row],[Profit]] / Tabla1[[#This Row],[Sales_Calculated]]</f>
        <v>7.9745340168407591E-2</v>
      </c>
      <c r="Q707" s="20">
        <f xml:space="preserve"> Tabla1[[#This Row],[Unit_Price]] * Tabla1[[#This Row],[Quantity_Sold]]</f>
        <v>71279.399999999994</v>
      </c>
    </row>
    <row r="708" spans="1:17" x14ac:dyDescent="0.3">
      <c r="A708" s="2">
        <v>1003</v>
      </c>
      <c r="B708" s="1">
        <v>45073</v>
      </c>
      <c r="C708" s="8" t="s">
        <v>38</v>
      </c>
      <c r="D708" s="8" t="s">
        <v>34</v>
      </c>
      <c r="E708" s="6">
        <v>5119.8900000000003</v>
      </c>
      <c r="F708" s="2">
        <v>39</v>
      </c>
      <c r="G708" s="8" t="s">
        <v>29</v>
      </c>
      <c r="H708" s="6">
        <v>310.95999999999998</v>
      </c>
      <c r="I708" s="6">
        <v>457.84</v>
      </c>
      <c r="J708" s="8" t="s">
        <v>30</v>
      </c>
      <c r="K708" s="12">
        <v>0.03</v>
      </c>
      <c r="L708" s="8" t="s">
        <v>31</v>
      </c>
      <c r="M708" s="8" t="s">
        <v>19</v>
      </c>
      <c r="N708" s="10" t="s">
        <v>48</v>
      </c>
      <c r="O708" s="17">
        <f xml:space="preserve"> (Tabla1[[#This Row],[Unit_Price]] - Tabla1[[#This Row],[Unit_Cost]] ) * Tabla1[[#This Row],[Quantity_Sold]]</f>
        <v>5728.32</v>
      </c>
      <c r="P708" s="12">
        <f>Tabla1[[#This Row],[Profit]] / Tabla1[[#This Row],[Sales_Calculated]]</f>
        <v>0.32081076358553207</v>
      </c>
      <c r="Q708" s="20">
        <f xml:space="preserve"> Tabla1[[#This Row],[Unit_Price]] * Tabla1[[#This Row],[Quantity_Sold]]</f>
        <v>17855.759999999998</v>
      </c>
    </row>
    <row r="709" spans="1:17" x14ac:dyDescent="0.3">
      <c r="A709" s="2">
        <v>1077</v>
      </c>
      <c r="B709" s="1">
        <v>45262</v>
      </c>
      <c r="C709" s="8" t="s">
        <v>24</v>
      </c>
      <c r="D709" s="8" t="s">
        <v>34</v>
      </c>
      <c r="E709" s="6">
        <v>1960.41</v>
      </c>
      <c r="F709" s="2">
        <v>24</v>
      </c>
      <c r="G709" s="8" t="s">
        <v>35</v>
      </c>
      <c r="H709" s="6">
        <v>2258.54</v>
      </c>
      <c r="I709" s="6">
        <v>2439.4899999999998</v>
      </c>
      <c r="J709" s="8" t="s">
        <v>17</v>
      </c>
      <c r="K709" s="12">
        <v>0.2</v>
      </c>
      <c r="L709" s="8" t="s">
        <v>31</v>
      </c>
      <c r="M709" s="8" t="s">
        <v>22</v>
      </c>
      <c r="N709" s="10" t="s">
        <v>50</v>
      </c>
      <c r="O709" s="17">
        <f xml:space="preserve"> (Tabla1[[#This Row],[Unit_Price]] - Tabla1[[#This Row],[Unit_Cost]] ) * Tabla1[[#This Row],[Quantity_Sold]]</f>
        <v>4342.7999999999956</v>
      </c>
      <c r="P709" s="12">
        <f>Tabla1[[#This Row],[Profit]] / Tabla1[[#This Row],[Sales_Calculated]]</f>
        <v>7.4175339927607747E-2</v>
      </c>
      <c r="Q709" s="20">
        <f xml:space="preserve"> Tabla1[[#This Row],[Unit_Price]] * Tabla1[[#This Row],[Quantity_Sold]]</f>
        <v>58547.759999999995</v>
      </c>
    </row>
    <row r="710" spans="1:17" x14ac:dyDescent="0.3">
      <c r="A710" s="2">
        <v>1092</v>
      </c>
      <c r="B710" s="1">
        <v>45094</v>
      </c>
      <c r="C710" s="8" t="s">
        <v>24</v>
      </c>
      <c r="D710" s="8" t="s">
        <v>34</v>
      </c>
      <c r="E710" s="6">
        <v>862.02</v>
      </c>
      <c r="F710" s="2">
        <v>21</v>
      </c>
      <c r="G710" s="8" t="s">
        <v>29</v>
      </c>
      <c r="H710" s="6">
        <v>2792.2</v>
      </c>
      <c r="I710" s="6">
        <v>3254.5499999999902</v>
      </c>
      <c r="J710" s="8" t="s">
        <v>30</v>
      </c>
      <c r="K710" s="12">
        <v>0.02</v>
      </c>
      <c r="L710" s="8" t="s">
        <v>31</v>
      </c>
      <c r="M710" s="8" t="s">
        <v>22</v>
      </c>
      <c r="N710" s="10" t="s">
        <v>50</v>
      </c>
      <c r="O710" s="17">
        <f xml:space="preserve"> (Tabla1[[#This Row],[Unit_Price]] - Tabla1[[#This Row],[Unit_Cost]] ) * Tabla1[[#This Row],[Quantity_Sold]]</f>
        <v>9709.3499999997985</v>
      </c>
      <c r="P710" s="12">
        <f>Tabla1[[#This Row],[Profit]] / Tabla1[[#This Row],[Sales_Calculated]]</f>
        <v>0.14206265075048524</v>
      </c>
      <c r="Q710" s="20">
        <f xml:space="preserve"> Tabla1[[#This Row],[Unit_Price]] * Tabla1[[#This Row],[Quantity_Sold]]</f>
        <v>68345.549999999799</v>
      </c>
    </row>
    <row r="711" spans="1:17" x14ac:dyDescent="0.3">
      <c r="A711" s="2">
        <v>1062</v>
      </c>
      <c r="B711" s="1">
        <v>45018</v>
      </c>
      <c r="C711" s="8" t="s">
        <v>14</v>
      </c>
      <c r="D711" s="8" t="s">
        <v>34</v>
      </c>
      <c r="E711" s="6">
        <v>6991.95</v>
      </c>
      <c r="F711" s="2">
        <v>10</v>
      </c>
      <c r="G711" s="8" t="s">
        <v>29</v>
      </c>
      <c r="H711" s="6">
        <v>1524.88</v>
      </c>
      <c r="I711" s="6">
        <v>1636.14</v>
      </c>
      <c r="J711" s="8" t="s">
        <v>30</v>
      </c>
      <c r="K711" s="12">
        <v>0.2</v>
      </c>
      <c r="L711" s="8" t="s">
        <v>27</v>
      </c>
      <c r="M711" s="8" t="s">
        <v>19</v>
      </c>
      <c r="N711" s="10" t="s">
        <v>46</v>
      </c>
      <c r="O711" s="17">
        <f xml:space="preserve"> (Tabla1[[#This Row],[Unit_Price]] - Tabla1[[#This Row],[Unit_Cost]] ) * Tabla1[[#This Row],[Quantity_Sold]]</f>
        <v>1112.5999999999999</v>
      </c>
      <c r="P711" s="12">
        <f>Tabla1[[#This Row],[Profit]] / Tabla1[[#This Row],[Sales_Calculated]]</f>
        <v>6.8001515762709783E-2</v>
      </c>
      <c r="Q711" s="20">
        <f xml:space="preserve"> Tabla1[[#This Row],[Unit_Price]] * Tabla1[[#This Row],[Quantity_Sold]]</f>
        <v>16361.400000000001</v>
      </c>
    </row>
    <row r="712" spans="1:17" x14ac:dyDescent="0.3">
      <c r="A712" s="2">
        <v>1063</v>
      </c>
      <c r="B712" s="1">
        <v>45279</v>
      </c>
      <c r="C712" s="8" t="s">
        <v>33</v>
      </c>
      <c r="D712" s="8" t="s">
        <v>21</v>
      </c>
      <c r="E712" s="6">
        <v>3889.71</v>
      </c>
      <c r="F712" s="2">
        <v>46</v>
      </c>
      <c r="G712" s="8" t="s">
        <v>16</v>
      </c>
      <c r="H712" s="6">
        <v>2302.62</v>
      </c>
      <c r="I712" s="6">
        <v>2740.93</v>
      </c>
      <c r="J712" s="8" t="s">
        <v>17</v>
      </c>
      <c r="K712" s="12">
        <v>0.25</v>
      </c>
      <c r="L712" s="8" t="s">
        <v>27</v>
      </c>
      <c r="M712" s="8" t="s">
        <v>19</v>
      </c>
      <c r="N712" s="10" t="s">
        <v>37</v>
      </c>
      <c r="O712" s="17">
        <f xml:space="preserve"> (Tabla1[[#This Row],[Unit_Price]] - Tabla1[[#This Row],[Unit_Cost]] ) * Tabla1[[#This Row],[Quantity_Sold]]</f>
        <v>20162.259999999998</v>
      </c>
      <c r="P712" s="12">
        <f>Tabla1[[#This Row],[Profit]] / Tabla1[[#This Row],[Sales_Calculated]]</f>
        <v>0.15991287628651588</v>
      </c>
      <c r="Q712" s="20">
        <f xml:space="preserve"> Tabla1[[#This Row],[Unit_Price]] * Tabla1[[#This Row],[Quantity_Sold]]</f>
        <v>126082.78</v>
      </c>
    </row>
    <row r="713" spans="1:17" x14ac:dyDescent="0.3">
      <c r="A713" s="2">
        <v>1025</v>
      </c>
      <c r="B713" s="1">
        <v>44985</v>
      </c>
      <c r="C713" s="8" t="s">
        <v>14</v>
      </c>
      <c r="D713" s="8" t="s">
        <v>34</v>
      </c>
      <c r="E713" s="6">
        <v>8236.1299999999992</v>
      </c>
      <c r="F713" s="2">
        <v>14</v>
      </c>
      <c r="G713" s="8" t="s">
        <v>35</v>
      </c>
      <c r="H713" s="6">
        <v>859.59</v>
      </c>
      <c r="I713" s="6">
        <v>884.51</v>
      </c>
      <c r="J713" s="8" t="s">
        <v>30</v>
      </c>
      <c r="K713" s="12">
        <v>0.12</v>
      </c>
      <c r="L713" s="8" t="s">
        <v>27</v>
      </c>
      <c r="M713" s="8" t="s">
        <v>19</v>
      </c>
      <c r="N713" s="10" t="s">
        <v>46</v>
      </c>
      <c r="O713" s="17">
        <f xml:space="preserve"> (Tabla1[[#This Row],[Unit_Price]] - Tabla1[[#This Row],[Unit_Cost]] ) * Tabla1[[#This Row],[Quantity_Sold]]</f>
        <v>348.87999999999943</v>
      </c>
      <c r="P713" s="12">
        <f>Tabla1[[#This Row],[Profit]] / Tabla1[[#This Row],[Sales_Calculated]]</f>
        <v>2.8173791138596468E-2</v>
      </c>
      <c r="Q713" s="20">
        <f xml:space="preserve"> Tabla1[[#This Row],[Unit_Price]] * Tabla1[[#This Row],[Quantity_Sold]]</f>
        <v>12383.14</v>
      </c>
    </row>
    <row r="714" spans="1:17" x14ac:dyDescent="0.3">
      <c r="A714" s="2">
        <v>1056</v>
      </c>
      <c r="B714" s="1">
        <v>44985</v>
      </c>
      <c r="C714" s="8" t="s">
        <v>38</v>
      </c>
      <c r="D714" s="8" t="s">
        <v>15</v>
      </c>
      <c r="E714" s="6">
        <v>6629.16</v>
      </c>
      <c r="F714" s="2">
        <v>37</v>
      </c>
      <c r="G714" s="8" t="s">
        <v>35</v>
      </c>
      <c r="H714" s="6">
        <v>1555.41</v>
      </c>
      <c r="I714" s="6">
        <v>1609.94</v>
      </c>
      <c r="J714" s="8" t="s">
        <v>17</v>
      </c>
      <c r="K714" s="12">
        <v>0.16</v>
      </c>
      <c r="L714" s="8" t="s">
        <v>31</v>
      </c>
      <c r="M714" s="8" t="s">
        <v>19</v>
      </c>
      <c r="N714" s="10" t="s">
        <v>40</v>
      </c>
      <c r="O714" s="17">
        <f xml:space="preserve"> (Tabla1[[#This Row],[Unit_Price]] - Tabla1[[#This Row],[Unit_Cost]] ) * Tabla1[[#This Row],[Quantity_Sold]]</f>
        <v>2017.609999999999</v>
      </c>
      <c r="P714" s="12">
        <f>Tabla1[[#This Row],[Profit]] / Tabla1[[#This Row],[Sales_Calculated]]</f>
        <v>3.3870827484254053E-2</v>
      </c>
      <c r="Q714" s="20">
        <f xml:space="preserve"> Tabla1[[#This Row],[Unit_Price]] * Tabla1[[#This Row],[Quantity_Sold]]</f>
        <v>59567.78</v>
      </c>
    </row>
    <row r="715" spans="1:17" x14ac:dyDescent="0.3">
      <c r="A715" s="2">
        <v>1033</v>
      </c>
      <c r="B715" s="1">
        <v>45230</v>
      </c>
      <c r="C715" s="8" t="s">
        <v>38</v>
      </c>
      <c r="D715" s="8" t="s">
        <v>34</v>
      </c>
      <c r="E715" s="6">
        <v>7982.79</v>
      </c>
      <c r="F715" s="2">
        <v>18</v>
      </c>
      <c r="G715" s="8" t="s">
        <v>16</v>
      </c>
      <c r="H715" s="6">
        <v>3124.48</v>
      </c>
      <c r="I715" s="6">
        <v>3553.27</v>
      </c>
      <c r="J715" s="8" t="s">
        <v>17</v>
      </c>
      <c r="K715" s="12">
        <v>0.12</v>
      </c>
      <c r="L715" s="8" t="s">
        <v>18</v>
      </c>
      <c r="M715" s="8" t="s">
        <v>22</v>
      </c>
      <c r="N715" s="10" t="s">
        <v>48</v>
      </c>
      <c r="O715" s="17">
        <f xml:space="preserve"> (Tabla1[[#This Row],[Unit_Price]] - Tabla1[[#This Row],[Unit_Cost]] ) * Tabla1[[#This Row],[Quantity_Sold]]</f>
        <v>7718.2199999999993</v>
      </c>
      <c r="P715" s="12">
        <f>Tabla1[[#This Row],[Profit]] / Tabla1[[#This Row],[Sales_Calculated]]</f>
        <v>0.1206747587433547</v>
      </c>
      <c r="Q715" s="20">
        <f xml:space="preserve"> Tabla1[[#This Row],[Unit_Price]] * Tabla1[[#This Row],[Quantity_Sold]]</f>
        <v>63958.86</v>
      </c>
    </row>
    <row r="716" spans="1:17" x14ac:dyDescent="0.3">
      <c r="A716" s="2">
        <v>1038</v>
      </c>
      <c r="B716" s="1">
        <v>45095</v>
      </c>
      <c r="C716" s="8" t="s">
        <v>38</v>
      </c>
      <c r="D716" s="8" t="s">
        <v>21</v>
      </c>
      <c r="E716" s="6">
        <v>2792.27</v>
      </c>
      <c r="F716" s="2">
        <v>24</v>
      </c>
      <c r="G716" s="8" t="s">
        <v>29</v>
      </c>
      <c r="H716" s="6">
        <v>1543.91</v>
      </c>
      <c r="I716" s="6">
        <v>1862.88</v>
      </c>
      <c r="J716" s="8" t="s">
        <v>30</v>
      </c>
      <c r="K716" s="12">
        <v>0.09</v>
      </c>
      <c r="L716" s="8" t="s">
        <v>27</v>
      </c>
      <c r="M716" s="8" t="s">
        <v>19</v>
      </c>
      <c r="N716" s="10" t="s">
        <v>41</v>
      </c>
      <c r="O716" s="17">
        <f xml:space="preserve"> (Tabla1[[#This Row],[Unit_Price]] - Tabla1[[#This Row],[Unit_Cost]] ) * Tabla1[[#This Row],[Quantity_Sold]]</f>
        <v>7655.2800000000007</v>
      </c>
      <c r="P716" s="12">
        <f>Tabla1[[#This Row],[Profit]] / Tabla1[[#This Row],[Sales_Calculated]]</f>
        <v>0.17122412608434254</v>
      </c>
      <c r="Q716" s="20">
        <f xml:space="preserve"> Tabla1[[#This Row],[Unit_Price]] * Tabla1[[#This Row],[Quantity_Sold]]</f>
        <v>44709.120000000003</v>
      </c>
    </row>
    <row r="717" spans="1:17" x14ac:dyDescent="0.3">
      <c r="A717" s="2">
        <v>1006</v>
      </c>
      <c r="B717" s="1">
        <v>45195</v>
      </c>
      <c r="C717" s="8" t="s">
        <v>14</v>
      </c>
      <c r="D717" s="8" t="s">
        <v>34</v>
      </c>
      <c r="E717" s="6">
        <v>6954.35</v>
      </c>
      <c r="F717" s="2">
        <v>14</v>
      </c>
      <c r="G717" s="8" t="s">
        <v>26</v>
      </c>
      <c r="H717" s="6">
        <v>4503.7299999999996</v>
      </c>
      <c r="I717" s="6">
        <v>4879.8799999999901</v>
      </c>
      <c r="J717" s="8" t="s">
        <v>30</v>
      </c>
      <c r="K717" s="12">
        <v>0.24</v>
      </c>
      <c r="L717" s="8" t="s">
        <v>27</v>
      </c>
      <c r="M717" s="8" t="s">
        <v>22</v>
      </c>
      <c r="N717" s="10" t="s">
        <v>46</v>
      </c>
      <c r="O717" s="17">
        <f xml:space="preserve"> (Tabla1[[#This Row],[Unit_Price]] - Tabla1[[#This Row],[Unit_Cost]] ) * Tabla1[[#This Row],[Quantity_Sold]]</f>
        <v>5266.0999999998676</v>
      </c>
      <c r="P717" s="12">
        <f>Tabla1[[#This Row],[Profit]] / Tabla1[[#This Row],[Sales_Calculated]]</f>
        <v>7.7081813487215114E-2</v>
      </c>
      <c r="Q717" s="20">
        <f xml:space="preserve"> Tabla1[[#This Row],[Unit_Price]] * Tabla1[[#This Row],[Quantity_Sold]]</f>
        <v>68318.319999999861</v>
      </c>
    </row>
    <row r="718" spans="1:17" x14ac:dyDescent="0.3">
      <c r="A718" s="2">
        <v>1058</v>
      </c>
      <c r="B718" s="1">
        <v>45289</v>
      </c>
      <c r="C718" s="8" t="s">
        <v>24</v>
      </c>
      <c r="D718" s="8" t="s">
        <v>15</v>
      </c>
      <c r="E718" s="6">
        <v>2714.21</v>
      </c>
      <c r="F718" s="2">
        <v>34</v>
      </c>
      <c r="G718" s="8" t="s">
        <v>35</v>
      </c>
      <c r="H718" s="6">
        <v>3160.61</v>
      </c>
      <c r="I718" s="6">
        <v>3273.22</v>
      </c>
      <c r="J718" s="8" t="s">
        <v>17</v>
      </c>
      <c r="K718" s="12">
        <v>0.08</v>
      </c>
      <c r="L718" s="8" t="s">
        <v>31</v>
      </c>
      <c r="M718" s="8" t="s">
        <v>22</v>
      </c>
      <c r="N718" s="10" t="s">
        <v>45</v>
      </c>
      <c r="O718" s="17">
        <f xml:space="preserve"> (Tabla1[[#This Row],[Unit_Price]] - Tabla1[[#This Row],[Unit_Cost]] ) * Tabla1[[#This Row],[Quantity_Sold]]</f>
        <v>3828.7399999999889</v>
      </c>
      <c r="P718" s="12">
        <f>Tabla1[[#This Row],[Profit]] / Tabla1[[#This Row],[Sales_Calculated]]</f>
        <v>3.4403431483371015E-2</v>
      </c>
      <c r="Q718" s="20">
        <f xml:space="preserve"> Tabla1[[#This Row],[Unit_Price]] * Tabla1[[#This Row],[Quantity_Sold]]</f>
        <v>111289.48</v>
      </c>
    </row>
    <row r="719" spans="1:17" x14ac:dyDescent="0.3">
      <c r="A719" s="2">
        <v>1044</v>
      </c>
      <c r="B719" s="1">
        <v>44971</v>
      </c>
      <c r="C719" s="8" t="s">
        <v>24</v>
      </c>
      <c r="D719" s="8" t="s">
        <v>21</v>
      </c>
      <c r="E719" s="6">
        <v>9396.7800000000007</v>
      </c>
      <c r="F719" s="2">
        <v>12</v>
      </c>
      <c r="G719" s="8" t="s">
        <v>35</v>
      </c>
      <c r="H719" s="6">
        <v>2221.31</v>
      </c>
      <c r="I719" s="6">
        <v>2494.48</v>
      </c>
      <c r="J719" s="8" t="s">
        <v>17</v>
      </c>
      <c r="K719" s="12">
        <v>0.22</v>
      </c>
      <c r="L719" s="8" t="s">
        <v>27</v>
      </c>
      <c r="M719" s="8" t="s">
        <v>19</v>
      </c>
      <c r="N719" s="10" t="s">
        <v>47</v>
      </c>
      <c r="O719" s="17">
        <f xml:space="preserve"> (Tabla1[[#This Row],[Unit_Price]] - Tabla1[[#This Row],[Unit_Cost]] ) * Tabla1[[#This Row],[Quantity_Sold]]</f>
        <v>3278.0400000000009</v>
      </c>
      <c r="P719" s="12">
        <f>Tabla1[[#This Row],[Profit]] / Tabla1[[#This Row],[Sales_Calculated]]</f>
        <v>0.10950979763317407</v>
      </c>
      <c r="Q719" s="20">
        <f xml:space="preserve"> Tabla1[[#This Row],[Unit_Price]] * Tabla1[[#This Row],[Quantity_Sold]]</f>
        <v>29933.760000000002</v>
      </c>
    </row>
    <row r="720" spans="1:17" x14ac:dyDescent="0.3">
      <c r="A720" s="2">
        <v>1045</v>
      </c>
      <c r="B720" s="1">
        <v>45271</v>
      </c>
      <c r="C720" s="8" t="s">
        <v>42</v>
      </c>
      <c r="D720" s="8" t="s">
        <v>21</v>
      </c>
      <c r="E720" s="6">
        <v>6400.11</v>
      </c>
      <c r="F720" s="2">
        <v>22</v>
      </c>
      <c r="G720" s="8" t="s">
        <v>29</v>
      </c>
      <c r="H720" s="6">
        <v>241.85</v>
      </c>
      <c r="I720" s="6">
        <v>613.09</v>
      </c>
      <c r="J720" s="8" t="s">
        <v>17</v>
      </c>
      <c r="K720" s="12">
        <v>0.06</v>
      </c>
      <c r="L720" s="8" t="s">
        <v>18</v>
      </c>
      <c r="M720" s="8" t="s">
        <v>19</v>
      </c>
      <c r="N720" s="10" t="s">
        <v>51</v>
      </c>
      <c r="O720" s="17">
        <f xml:space="preserve"> (Tabla1[[#This Row],[Unit_Price]] - Tabla1[[#This Row],[Unit_Cost]] ) * Tabla1[[#This Row],[Quantity_Sold]]</f>
        <v>8167.2800000000007</v>
      </c>
      <c r="P720" s="12">
        <f>Tabla1[[#This Row],[Profit]] / Tabla1[[#This Row],[Sales_Calculated]]</f>
        <v>0.60552284330196215</v>
      </c>
      <c r="Q720" s="20">
        <f xml:space="preserve"> Tabla1[[#This Row],[Unit_Price]] * Tabla1[[#This Row],[Quantity_Sold]]</f>
        <v>13487.980000000001</v>
      </c>
    </row>
    <row r="721" spans="1:17" x14ac:dyDescent="0.3">
      <c r="A721" s="2">
        <v>1032</v>
      </c>
      <c r="B721" s="1">
        <v>45107</v>
      </c>
      <c r="C721" s="8" t="s">
        <v>38</v>
      </c>
      <c r="D721" s="8" t="s">
        <v>15</v>
      </c>
      <c r="E721" s="6">
        <v>3312.67</v>
      </c>
      <c r="F721" s="2">
        <v>6</v>
      </c>
      <c r="G721" s="8" t="s">
        <v>29</v>
      </c>
      <c r="H721" s="6">
        <v>2522.7600000000002</v>
      </c>
      <c r="I721" s="6">
        <v>2840.14</v>
      </c>
      <c r="J721" s="8" t="s">
        <v>17</v>
      </c>
      <c r="K721" s="12">
        <v>7.0000000000000007E-2</v>
      </c>
      <c r="L721" s="8" t="s">
        <v>31</v>
      </c>
      <c r="M721" s="8" t="s">
        <v>22</v>
      </c>
      <c r="N721" s="10" t="s">
        <v>40</v>
      </c>
      <c r="O721" s="17">
        <f xml:space="preserve"> (Tabla1[[#This Row],[Unit_Price]] - Tabla1[[#This Row],[Unit_Cost]] ) * Tabla1[[#This Row],[Quantity_Sold]]</f>
        <v>1904.2799999999979</v>
      </c>
      <c r="P721" s="12">
        <f>Tabla1[[#This Row],[Profit]] / Tabla1[[#This Row],[Sales_Calculated]]</f>
        <v>0.11174801242192274</v>
      </c>
      <c r="Q721" s="20">
        <f xml:space="preserve"> Tabla1[[#This Row],[Unit_Price]] * Tabla1[[#This Row],[Quantity_Sold]]</f>
        <v>17040.84</v>
      </c>
    </row>
    <row r="722" spans="1:17" x14ac:dyDescent="0.3">
      <c r="A722" s="2">
        <v>1045</v>
      </c>
      <c r="B722" s="1">
        <v>45096</v>
      </c>
      <c r="C722" s="8" t="s">
        <v>24</v>
      </c>
      <c r="D722" s="8" t="s">
        <v>15</v>
      </c>
      <c r="E722" s="6">
        <v>2768.17</v>
      </c>
      <c r="F722" s="2">
        <v>36</v>
      </c>
      <c r="G722" s="8" t="s">
        <v>35</v>
      </c>
      <c r="H722" s="6">
        <v>3835.64</v>
      </c>
      <c r="I722" s="6">
        <v>4076.77</v>
      </c>
      <c r="J722" s="8" t="s">
        <v>17</v>
      </c>
      <c r="K722" s="12">
        <v>0.1</v>
      </c>
      <c r="L722" s="8" t="s">
        <v>31</v>
      </c>
      <c r="M722" s="8" t="s">
        <v>22</v>
      </c>
      <c r="N722" s="10" t="s">
        <v>45</v>
      </c>
      <c r="O722" s="17">
        <f xml:space="preserve"> (Tabla1[[#This Row],[Unit_Price]] - Tabla1[[#This Row],[Unit_Cost]] ) * Tabla1[[#This Row],[Quantity_Sold]]</f>
        <v>8680.6800000000039</v>
      </c>
      <c r="P722" s="12">
        <f>Tabla1[[#This Row],[Profit]] / Tabla1[[#This Row],[Sales_Calculated]]</f>
        <v>5.9147315153908635E-2</v>
      </c>
      <c r="Q722" s="20">
        <f xml:space="preserve"> Tabla1[[#This Row],[Unit_Price]] * Tabla1[[#This Row],[Quantity_Sold]]</f>
        <v>146763.72</v>
      </c>
    </row>
    <row r="723" spans="1:17" x14ac:dyDescent="0.3">
      <c r="A723" s="2">
        <v>1061</v>
      </c>
      <c r="B723" s="1">
        <v>45282</v>
      </c>
      <c r="C723" s="8" t="s">
        <v>42</v>
      </c>
      <c r="D723" s="8" t="s">
        <v>15</v>
      </c>
      <c r="E723" s="6">
        <v>1990.17</v>
      </c>
      <c r="F723" s="2">
        <v>45</v>
      </c>
      <c r="G723" s="8" t="s">
        <v>29</v>
      </c>
      <c r="H723" s="6">
        <v>1364.51</v>
      </c>
      <c r="I723" s="6">
        <v>1844.8</v>
      </c>
      <c r="J723" s="8" t="s">
        <v>17</v>
      </c>
      <c r="K723" s="12">
        <v>0.18</v>
      </c>
      <c r="L723" s="8" t="s">
        <v>18</v>
      </c>
      <c r="M723" s="8" t="s">
        <v>19</v>
      </c>
      <c r="N723" s="10" t="s">
        <v>49</v>
      </c>
      <c r="O723" s="17">
        <f xml:space="preserve"> (Tabla1[[#This Row],[Unit_Price]] - Tabla1[[#This Row],[Unit_Cost]] ) * Tabla1[[#This Row],[Quantity_Sold]]</f>
        <v>21613.05</v>
      </c>
      <c r="P723" s="12">
        <f>Tabla1[[#This Row],[Profit]] / Tabla1[[#This Row],[Sales_Calculated]]</f>
        <v>0.26034800520381612</v>
      </c>
      <c r="Q723" s="20">
        <f xml:space="preserve"> Tabla1[[#This Row],[Unit_Price]] * Tabla1[[#This Row],[Quantity_Sold]]</f>
        <v>83016</v>
      </c>
    </row>
    <row r="724" spans="1:17" x14ac:dyDescent="0.3">
      <c r="A724" s="2">
        <v>1047</v>
      </c>
      <c r="B724" s="1">
        <v>45117</v>
      </c>
      <c r="C724" s="8" t="s">
        <v>24</v>
      </c>
      <c r="D724" s="8" t="s">
        <v>15</v>
      </c>
      <c r="E724" s="6">
        <v>6976.95</v>
      </c>
      <c r="F724" s="2">
        <v>36</v>
      </c>
      <c r="G724" s="8" t="s">
        <v>26</v>
      </c>
      <c r="H724" s="6">
        <v>4043.53</v>
      </c>
      <c r="I724" s="6">
        <v>4384.8500000000004</v>
      </c>
      <c r="J724" s="8" t="s">
        <v>30</v>
      </c>
      <c r="K724" s="12">
        <v>0.14000000000000001</v>
      </c>
      <c r="L724" s="8" t="s">
        <v>18</v>
      </c>
      <c r="M724" s="8" t="s">
        <v>19</v>
      </c>
      <c r="N724" s="10" t="s">
        <v>45</v>
      </c>
      <c r="O724" s="17">
        <f xml:space="preserve"> (Tabla1[[#This Row],[Unit_Price]] - Tabla1[[#This Row],[Unit_Cost]] ) * Tabla1[[#This Row],[Quantity_Sold]]</f>
        <v>12287.520000000006</v>
      </c>
      <c r="P724" s="12">
        <f>Tabla1[[#This Row],[Profit]] / Tabla1[[#This Row],[Sales_Calculated]]</f>
        <v>7.7840747117917414E-2</v>
      </c>
      <c r="Q724" s="20">
        <f xml:space="preserve"> Tabla1[[#This Row],[Unit_Price]] * Tabla1[[#This Row],[Quantity_Sold]]</f>
        <v>157854.6</v>
      </c>
    </row>
    <row r="725" spans="1:17" x14ac:dyDescent="0.3">
      <c r="A725" s="2">
        <v>1021</v>
      </c>
      <c r="B725" s="1">
        <v>45081</v>
      </c>
      <c r="C725" s="8" t="s">
        <v>38</v>
      </c>
      <c r="D725" s="8" t="s">
        <v>15</v>
      </c>
      <c r="E725" s="6">
        <v>2265.2800000000002</v>
      </c>
      <c r="F725" s="2">
        <v>22</v>
      </c>
      <c r="G725" s="8" t="s">
        <v>35</v>
      </c>
      <c r="H725" s="6">
        <v>1296.44</v>
      </c>
      <c r="I725" s="6">
        <v>1751.24</v>
      </c>
      <c r="J725" s="8" t="s">
        <v>30</v>
      </c>
      <c r="K725" s="12">
        <v>0.22</v>
      </c>
      <c r="L725" s="8" t="s">
        <v>18</v>
      </c>
      <c r="M725" s="8" t="s">
        <v>19</v>
      </c>
      <c r="N725" s="10" t="s">
        <v>40</v>
      </c>
      <c r="O725" s="17">
        <f xml:space="preserve"> (Tabla1[[#This Row],[Unit_Price]] - Tabla1[[#This Row],[Unit_Cost]] ) * Tabla1[[#This Row],[Quantity_Sold]]</f>
        <v>10005.599999999999</v>
      </c>
      <c r="P725" s="12">
        <f>Tabla1[[#This Row],[Profit]] / Tabla1[[#This Row],[Sales_Calculated]]</f>
        <v>0.25970169708320956</v>
      </c>
      <c r="Q725" s="20">
        <f xml:space="preserve"> Tabla1[[#This Row],[Unit_Price]] * Tabla1[[#This Row],[Quantity_Sold]]</f>
        <v>38527.279999999999</v>
      </c>
    </row>
    <row r="726" spans="1:17" x14ac:dyDescent="0.3">
      <c r="A726" s="2">
        <v>1080</v>
      </c>
      <c r="B726" s="1">
        <v>45114</v>
      </c>
      <c r="C726" s="8" t="s">
        <v>33</v>
      </c>
      <c r="D726" s="8" t="s">
        <v>21</v>
      </c>
      <c r="E726" s="6">
        <v>5993.5</v>
      </c>
      <c r="F726" s="2">
        <v>14</v>
      </c>
      <c r="G726" s="8" t="s">
        <v>26</v>
      </c>
      <c r="H726" s="6">
        <v>4127.54</v>
      </c>
      <c r="I726" s="6">
        <v>4495.13</v>
      </c>
      <c r="J726" s="8" t="s">
        <v>30</v>
      </c>
      <c r="K726" s="12">
        <v>0.06</v>
      </c>
      <c r="L726" s="8" t="s">
        <v>27</v>
      </c>
      <c r="M726" s="8" t="s">
        <v>22</v>
      </c>
      <c r="N726" s="10" t="s">
        <v>37</v>
      </c>
      <c r="O726" s="17">
        <f xml:space="preserve"> (Tabla1[[#This Row],[Unit_Price]] - Tabla1[[#This Row],[Unit_Cost]] ) * Tabla1[[#This Row],[Quantity_Sold]]</f>
        <v>5146.260000000002</v>
      </c>
      <c r="P726" s="12">
        <f>Tabla1[[#This Row],[Profit]] / Tabla1[[#This Row],[Sales_Calculated]]</f>
        <v>8.1775165568070365E-2</v>
      </c>
      <c r="Q726" s="20">
        <f xml:space="preserve"> Tabla1[[#This Row],[Unit_Price]] * Tabla1[[#This Row],[Quantity_Sold]]</f>
        <v>62931.82</v>
      </c>
    </row>
    <row r="727" spans="1:17" x14ac:dyDescent="0.3">
      <c r="A727" s="2">
        <v>1085</v>
      </c>
      <c r="B727" s="1">
        <v>44933</v>
      </c>
      <c r="C727" s="8" t="s">
        <v>38</v>
      </c>
      <c r="D727" s="8" t="s">
        <v>21</v>
      </c>
      <c r="E727" s="6">
        <v>2719.89</v>
      </c>
      <c r="F727" s="2">
        <v>16</v>
      </c>
      <c r="G727" s="8" t="s">
        <v>26</v>
      </c>
      <c r="H727" s="6">
        <v>472.08</v>
      </c>
      <c r="I727" s="6">
        <v>842.46</v>
      </c>
      <c r="J727" s="8" t="s">
        <v>30</v>
      </c>
      <c r="K727" s="12">
        <v>0</v>
      </c>
      <c r="L727" s="8" t="s">
        <v>18</v>
      </c>
      <c r="M727" s="8" t="s">
        <v>22</v>
      </c>
      <c r="N727" s="10" t="s">
        <v>41</v>
      </c>
      <c r="O727" s="17">
        <f xml:space="preserve"> (Tabla1[[#This Row],[Unit_Price]] - Tabla1[[#This Row],[Unit_Cost]] ) * Tabla1[[#This Row],[Quantity_Sold]]</f>
        <v>5926.0800000000008</v>
      </c>
      <c r="P727" s="12">
        <f>Tabla1[[#This Row],[Profit]] / Tabla1[[#This Row],[Sales_Calculated]]</f>
        <v>0.439641051207179</v>
      </c>
      <c r="Q727" s="20">
        <f xml:space="preserve"> Tabla1[[#This Row],[Unit_Price]] * Tabla1[[#This Row],[Quantity_Sold]]</f>
        <v>13479.36</v>
      </c>
    </row>
    <row r="728" spans="1:17" x14ac:dyDescent="0.3">
      <c r="A728" s="2">
        <v>1075</v>
      </c>
      <c r="B728" s="1">
        <v>45059</v>
      </c>
      <c r="C728" s="8" t="s">
        <v>14</v>
      </c>
      <c r="D728" s="8" t="s">
        <v>34</v>
      </c>
      <c r="E728" s="6">
        <v>6653.49</v>
      </c>
      <c r="F728" s="2">
        <v>36</v>
      </c>
      <c r="G728" s="8" t="s">
        <v>29</v>
      </c>
      <c r="H728" s="6">
        <v>4337.6099999999997</v>
      </c>
      <c r="I728" s="6">
        <v>4386.82</v>
      </c>
      <c r="J728" s="8" t="s">
        <v>17</v>
      </c>
      <c r="K728" s="12">
        <v>0.23</v>
      </c>
      <c r="L728" s="8" t="s">
        <v>31</v>
      </c>
      <c r="M728" s="8" t="s">
        <v>19</v>
      </c>
      <c r="N728" s="10" t="s">
        <v>46</v>
      </c>
      <c r="O728" s="17">
        <f xml:space="preserve"> (Tabla1[[#This Row],[Unit_Price]] - Tabla1[[#This Row],[Unit_Cost]] ) * Tabla1[[#This Row],[Quantity_Sold]]</f>
        <v>1771.5600000000013</v>
      </c>
      <c r="P728" s="12">
        <f>Tabla1[[#This Row],[Profit]] / Tabla1[[#This Row],[Sales_Calculated]]</f>
        <v>1.1217692998573007E-2</v>
      </c>
      <c r="Q728" s="20">
        <f xml:space="preserve"> Tabla1[[#This Row],[Unit_Price]] * Tabla1[[#This Row],[Quantity_Sold]]</f>
        <v>157925.51999999999</v>
      </c>
    </row>
    <row r="729" spans="1:17" x14ac:dyDescent="0.3">
      <c r="A729" s="2">
        <v>1036</v>
      </c>
      <c r="B729" s="1">
        <v>45161</v>
      </c>
      <c r="C729" s="8" t="s">
        <v>24</v>
      </c>
      <c r="D729" s="8" t="s">
        <v>34</v>
      </c>
      <c r="E729" s="6">
        <v>8167.9</v>
      </c>
      <c r="F729" s="2">
        <v>25</v>
      </c>
      <c r="G729" s="8" t="s">
        <v>26</v>
      </c>
      <c r="H729" s="6">
        <v>2520.9699999999998</v>
      </c>
      <c r="I729" s="6">
        <v>2707.1099999999901</v>
      </c>
      <c r="J729" s="8" t="s">
        <v>30</v>
      </c>
      <c r="K729" s="12">
        <v>0.25</v>
      </c>
      <c r="L729" s="8" t="s">
        <v>18</v>
      </c>
      <c r="M729" s="8" t="s">
        <v>22</v>
      </c>
      <c r="N729" s="10" t="s">
        <v>50</v>
      </c>
      <c r="O729" s="17">
        <f xml:space="preserve"> (Tabla1[[#This Row],[Unit_Price]] - Tabla1[[#This Row],[Unit_Cost]] ) * Tabla1[[#This Row],[Quantity_Sold]]</f>
        <v>4653.4999999997581</v>
      </c>
      <c r="P729" s="12">
        <f>Tabla1[[#This Row],[Profit]] / Tabla1[[#This Row],[Sales_Calculated]]</f>
        <v>6.8759673600256727E-2</v>
      </c>
      <c r="Q729" s="20">
        <f xml:space="preserve"> Tabla1[[#This Row],[Unit_Price]] * Tabla1[[#This Row],[Quantity_Sold]]</f>
        <v>67677.749999999753</v>
      </c>
    </row>
    <row r="730" spans="1:17" x14ac:dyDescent="0.3">
      <c r="A730" s="2">
        <v>1099</v>
      </c>
      <c r="B730" s="1">
        <v>44971</v>
      </c>
      <c r="C730" s="8" t="s">
        <v>24</v>
      </c>
      <c r="D730" s="8" t="s">
        <v>25</v>
      </c>
      <c r="E730" s="6">
        <v>7802.45</v>
      </c>
      <c r="F730" s="2">
        <v>32</v>
      </c>
      <c r="G730" s="8" t="s">
        <v>29</v>
      </c>
      <c r="H730" s="6">
        <v>1517.86</v>
      </c>
      <c r="I730" s="6">
        <v>1948.46</v>
      </c>
      <c r="J730" s="8" t="s">
        <v>30</v>
      </c>
      <c r="K730" s="12">
        <v>0.02</v>
      </c>
      <c r="L730" s="8" t="s">
        <v>31</v>
      </c>
      <c r="M730" s="8" t="s">
        <v>19</v>
      </c>
      <c r="N730" s="10" t="s">
        <v>28</v>
      </c>
      <c r="O730" s="17">
        <f xml:space="preserve"> (Tabla1[[#This Row],[Unit_Price]] - Tabla1[[#This Row],[Unit_Cost]] ) * Tabla1[[#This Row],[Quantity_Sold]]</f>
        <v>13779.200000000004</v>
      </c>
      <c r="P730" s="12">
        <f>Tabla1[[#This Row],[Profit]] / Tabla1[[#This Row],[Sales_Calculated]]</f>
        <v>0.22099504223848584</v>
      </c>
      <c r="Q730" s="20">
        <f xml:space="preserve"> Tabla1[[#This Row],[Unit_Price]] * Tabla1[[#This Row],[Quantity_Sold]]</f>
        <v>62350.720000000001</v>
      </c>
    </row>
    <row r="731" spans="1:17" x14ac:dyDescent="0.3">
      <c r="A731" s="2">
        <v>1019</v>
      </c>
      <c r="B731" s="1">
        <v>45240</v>
      </c>
      <c r="C731" s="8" t="s">
        <v>14</v>
      </c>
      <c r="D731" s="8" t="s">
        <v>34</v>
      </c>
      <c r="E731" s="6">
        <v>7632.43</v>
      </c>
      <c r="F731" s="2">
        <v>33</v>
      </c>
      <c r="G731" s="8" t="s">
        <v>16</v>
      </c>
      <c r="H731" s="6">
        <v>1362.31</v>
      </c>
      <c r="I731" s="6">
        <v>1486.29</v>
      </c>
      <c r="J731" s="8" t="s">
        <v>17</v>
      </c>
      <c r="K731" s="12">
        <v>0.18</v>
      </c>
      <c r="L731" s="8" t="s">
        <v>31</v>
      </c>
      <c r="M731" s="8" t="s">
        <v>22</v>
      </c>
      <c r="N731" s="10" t="s">
        <v>46</v>
      </c>
      <c r="O731" s="17">
        <f xml:space="preserve"> (Tabla1[[#This Row],[Unit_Price]] - Tabla1[[#This Row],[Unit_Cost]] ) * Tabla1[[#This Row],[Quantity_Sold]]</f>
        <v>4091.3400000000006</v>
      </c>
      <c r="P731" s="12">
        <f>Tabla1[[#This Row],[Profit]] / Tabla1[[#This Row],[Sales_Calculated]]</f>
        <v>8.341575331866595E-2</v>
      </c>
      <c r="Q731" s="20">
        <f xml:space="preserve"> Tabla1[[#This Row],[Unit_Price]] * Tabla1[[#This Row],[Quantity_Sold]]</f>
        <v>49047.57</v>
      </c>
    </row>
    <row r="732" spans="1:17" x14ac:dyDescent="0.3">
      <c r="A732" s="2">
        <v>1020</v>
      </c>
      <c r="B732" s="1">
        <v>45175</v>
      </c>
      <c r="C732" s="8" t="s">
        <v>14</v>
      </c>
      <c r="D732" s="8" t="s">
        <v>34</v>
      </c>
      <c r="E732" s="6">
        <v>1958.45</v>
      </c>
      <c r="F732" s="2">
        <v>45</v>
      </c>
      <c r="G732" s="8" t="s">
        <v>29</v>
      </c>
      <c r="H732" s="6">
        <v>2188.4499999999998</v>
      </c>
      <c r="I732" s="6">
        <v>2255.0499999999902</v>
      </c>
      <c r="J732" s="8" t="s">
        <v>30</v>
      </c>
      <c r="K732" s="12">
        <v>0.11</v>
      </c>
      <c r="L732" s="8" t="s">
        <v>27</v>
      </c>
      <c r="M732" s="8" t="s">
        <v>22</v>
      </c>
      <c r="N732" s="10" t="s">
        <v>46</v>
      </c>
      <c r="O732" s="17">
        <f xml:space="preserve"> (Tabla1[[#This Row],[Unit_Price]] - Tabla1[[#This Row],[Unit_Cost]] ) * Tabla1[[#This Row],[Quantity_Sold]]</f>
        <v>2996.9999999995662</v>
      </c>
      <c r="P732" s="12">
        <f>Tabla1[[#This Row],[Profit]] / Tabla1[[#This Row],[Sales_Calculated]]</f>
        <v>2.9533713221432185E-2</v>
      </c>
      <c r="Q732" s="20">
        <f xml:space="preserve"> Tabla1[[#This Row],[Unit_Price]] * Tabla1[[#This Row],[Quantity_Sold]]</f>
        <v>101477.24999999956</v>
      </c>
    </row>
    <row r="733" spans="1:17" x14ac:dyDescent="0.3">
      <c r="A733" s="2">
        <v>1057</v>
      </c>
      <c r="B733" s="1">
        <v>44957</v>
      </c>
      <c r="C733" s="8" t="s">
        <v>33</v>
      </c>
      <c r="D733" s="8" t="s">
        <v>15</v>
      </c>
      <c r="E733" s="6">
        <v>975.01</v>
      </c>
      <c r="F733" s="2">
        <v>36</v>
      </c>
      <c r="G733" s="8" t="s">
        <v>26</v>
      </c>
      <c r="H733" s="6">
        <v>4995.3</v>
      </c>
      <c r="I733" s="6">
        <v>5165.09</v>
      </c>
      <c r="J733" s="8" t="s">
        <v>17</v>
      </c>
      <c r="K733" s="12">
        <v>0.24</v>
      </c>
      <c r="L733" s="8" t="s">
        <v>18</v>
      </c>
      <c r="M733" s="8" t="s">
        <v>19</v>
      </c>
      <c r="N733" s="10" t="s">
        <v>53</v>
      </c>
      <c r="O733" s="17">
        <f xml:space="preserve"> (Tabla1[[#This Row],[Unit_Price]] - Tabla1[[#This Row],[Unit_Cost]] ) * Tabla1[[#This Row],[Quantity_Sold]]</f>
        <v>6112.4399999999987</v>
      </c>
      <c r="P733" s="12">
        <f>Tabla1[[#This Row],[Profit]] / Tabla1[[#This Row],[Sales_Calculated]]</f>
        <v>3.2872612093884125E-2</v>
      </c>
      <c r="Q733" s="20">
        <f xml:space="preserve"> Tabla1[[#This Row],[Unit_Price]] * Tabla1[[#This Row],[Quantity_Sold]]</f>
        <v>185943.24</v>
      </c>
    </row>
    <row r="734" spans="1:17" x14ac:dyDescent="0.3">
      <c r="A734" s="2">
        <v>1018</v>
      </c>
      <c r="B734" s="1">
        <v>44949</v>
      </c>
      <c r="C734" s="8" t="s">
        <v>24</v>
      </c>
      <c r="D734" s="8" t="s">
        <v>15</v>
      </c>
      <c r="E734" s="6">
        <v>7019.59</v>
      </c>
      <c r="F734" s="2">
        <v>20</v>
      </c>
      <c r="G734" s="8" t="s">
        <v>16</v>
      </c>
      <c r="H734" s="6">
        <v>1140.6199999999999</v>
      </c>
      <c r="I734" s="6">
        <v>1258.6299999999901</v>
      </c>
      <c r="J734" s="8" t="s">
        <v>17</v>
      </c>
      <c r="K734" s="12">
        <v>0.26</v>
      </c>
      <c r="L734" s="8" t="s">
        <v>27</v>
      </c>
      <c r="M734" s="8" t="s">
        <v>19</v>
      </c>
      <c r="N734" s="10" t="s">
        <v>45</v>
      </c>
      <c r="O734" s="17">
        <f xml:space="preserve"> (Tabla1[[#This Row],[Unit_Price]] - Tabla1[[#This Row],[Unit_Cost]] ) * Tabla1[[#This Row],[Quantity_Sold]]</f>
        <v>2360.1999999998043</v>
      </c>
      <c r="P734" s="12">
        <f>Tabla1[[#This Row],[Profit]] / Tabla1[[#This Row],[Sales_Calculated]]</f>
        <v>9.3760676290880668E-2</v>
      </c>
      <c r="Q734" s="20">
        <f xml:space="preserve"> Tabla1[[#This Row],[Unit_Price]] * Tabla1[[#This Row],[Quantity_Sold]]</f>
        <v>25172.599999999802</v>
      </c>
    </row>
    <row r="735" spans="1:17" x14ac:dyDescent="0.3">
      <c r="A735" s="2">
        <v>1047</v>
      </c>
      <c r="B735" s="1">
        <v>45086</v>
      </c>
      <c r="C735" s="8" t="s">
        <v>24</v>
      </c>
      <c r="D735" s="8" t="s">
        <v>34</v>
      </c>
      <c r="E735" s="6">
        <v>3746.64</v>
      </c>
      <c r="F735" s="2">
        <v>18</v>
      </c>
      <c r="G735" s="8" t="s">
        <v>29</v>
      </c>
      <c r="H735" s="6">
        <v>560.91999999999996</v>
      </c>
      <c r="I735" s="6">
        <v>1024.31</v>
      </c>
      <c r="J735" s="8" t="s">
        <v>17</v>
      </c>
      <c r="K735" s="12">
        <v>0.26</v>
      </c>
      <c r="L735" s="8" t="s">
        <v>18</v>
      </c>
      <c r="M735" s="8" t="s">
        <v>19</v>
      </c>
      <c r="N735" s="10" t="s">
        <v>50</v>
      </c>
      <c r="O735" s="17">
        <f xml:space="preserve"> (Tabla1[[#This Row],[Unit_Price]] - Tabla1[[#This Row],[Unit_Cost]] ) * Tabla1[[#This Row],[Quantity_Sold]]</f>
        <v>8341.02</v>
      </c>
      <c r="P735" s="12">
        <f>Tabla1[[#This Row],[Profit]] / Tabla1[[#This Row],[Sales_Calculated]]</f>
        <v>0.45239234216204088</v>
      </c>
      <c r="Q735" s="20">
        <f xml:space="preserve"> Tabla1[[#This Row],[Unit_Price]] * Tabla1[[#This Row],[Quantity_Sold]]</f>
        <v>18437.579999999998</v>
      </c>
    </row>
    <row r="736" spans="1:17" x14ac:dyDescent="0.3">
      <c r="A736" s="2">
        <v>1049</v>
      </c>
      <c r="B736" s="1">
        <v>45289</v>
      </c>
      <c r="C736" s="8" t="s">
        <v>33</v>
      </c>
      <c r="D736" s="8" t="s">
        <v>25</v>
      </c>
      <c r="E736" s="6">
        <v>4380.2299999999996</v>
      </c>
      <c r="F736" s="2">
        <v>38</v>
      </c>
      <c r="G736" s="8" t="s">
        <v>26</v>
      </c>
      <c r="H736" s="6">
        <v>2945.92</v>
      </c>
      <c r="I736" s="6">
        <v>3381.22</v>
      </c>
      <c r="J736" s="8" t="s">
        <v>17</v>
      </c>
      <c r="K736" s="12">
        <v>0.23</v>
      </c>
      <c r="L736" s="8" t="s">
        <v>18</v>
      </c>
      <c r="M736" s="8" t="s">
        <v>22</v>
      </c>
      <c r="N736" s="10" t="s">
        <v>44</v>
      </c>
      <c r="O736" s="17">
        <f xml:space="preserve"> (Tabla1[[#This Row],[Unit_Price]] - Tabla1[[#This Row],[Unit_Cost]] ) * Tabla1[[#This Row],[Quantity_Sold]]</f>
        <v>16541.399999999991</v>
      </c>
      <c r="P736" s="12">
        <f>Tabla1[[#This Row],[Profit]] / Tabla1[[#This Row],[Sales_Calculated]]</f>
        <v>0.1287405137790501</v>
      </c>
      <c r="Q736" s="20">
        <f xml:space="preserve"> Tabla1[[#This Row],[Unit_Price]] * Tabla1[[#This Row],[Quantity_Sold]]</f>
        <v>128486.35999999999</v>
      </c>
    </row>
    <row r="737" spans="1:17" x14ac:dyDescent="0.3">
      <c r="A737" s="2">
        <v>1014</v>
      </c>
      <c r="B737" s="1">
        <v>45084</v>
      </c>
      <c r="C737" s="8" t="s">
        <v>42</v>
      </c>
      <c r="D737" s="8" t="s">
        <v>15</v>
      </c>
      <c r="E737" s="6">
        <v>408.38</v>
      </c>
      <c r="F737" s="2">
        <v>3</v>
      </c>
      <c r="G737" s="8" t="s">
        <v>35</v>
      </c>
      <c r="H737" s="6">
        <v>2468.29</v>
      </c>
      <c r="I737" s="6">
        <v>2723.13</v>
      </c>
      <c r="J737" s="8" t="s">
        <v>17</v>
      </c>
      <c r="K737" s="12">
        <v>0.08</v>
      </c>
      <c r="L737" s="8" t="s">
        <v>18</v>
      </c>
      <c r="M737" s="8" t="s">
        <v>22</v>
      </c>
      <c r="N737" s="10" t="s">
        <v>49</v>
      </c>
      <c r="O737" s="17">
        <f xml:space="preserve"> (Tabla1[[#This Row],[Unit_Price]] - Tabla1[[#This Row],[Unit_Cost]] ) * Tabla1[[#This Row],[Quantity_Sold]]</f>
        <v>764.52000000000044</v>
      </c>
      <c r="P737" s="12">
        <f>Tabla1[[#This Row],[Profit]] / Tabla1[[#This Row],[Sales_Calculated]]</f>
        <v>9.3583486649554057E-2</v>
      </c>
      <c r="Q737" s="20">
        <f xml:space="preserve"> Tabla1[[#This Row],[Unit_Price]] * Tabla1[[#This Row],[Quantity_Sold]]</f>
        <v>8169.39</v>
      </c>
    </row>
    <row r="738" spans="1:17" x14ac:dyDescent="0.3">
      <c r="A738" s="2">
        <v>1015</v>
      </c>
      <c r="B738" s="1">
        <v>44965</v>
      </c>
      <c r="C738" s="8" t="s">
        <v>33</v>
      </c>
      <c r="D738" s="8" t="s">
        <v>34</v>
      </c>
      <c r="E738" s="6">
        <v>2669.81</v>
      </c>
      <c r="F738" s="2">
        <v>23</v>
      </c>
      <c r="G738" s="8" t="s">
        <v>35</v>
      </c>
      <c r="H738" s="6">
        <v>2644.77</v>
      </c>
      <c r="I738" s="6">
        <v>2684.83</v>
      </c>
      <c r="J738" s="8" t="s">
        <v>30</v>
      </c>
      <c r="K738" s="12">
        <v>0.24</v>
      </c>
      <c r="L738" s="8" t="s">
        <v>18</v>
      </c>
      <c r="M738" s="8" t="s">
        <v>19</v>
      </c>
      <c r="N738" s="10" t="s">
        <v>36</v>
      </c>
      <c r="O738" s="17">
        <f xml:space="preserve"> (Tabla1[[#This Row],[Unit_Price]] - Tabla1[[#This Row],[Unit_Cost]] ) * Tabla1[[#This Row],[Quantity_Sold]]</f>
        <v>921.37999999999874</v>
      </c>
      <c r="P738" s="12">
        <f>Tabla1[[#This Row],[Profit]] / Tabla1[[#This Row],[Sales_Calculated]]</f>
        <v>1.4920870222695644E-2</v>
      </c>
      <c r="Q738" s="20">
        <f xml:space="preserve"> Tabla1[[#This Row],[Unit_Price]] * Tabla1[[#This Row],[Quantity_Sold]]</f>
        <v>61751.09</v>
      </c>
    </row>
    <row r="739" spans="1:17" x14ac:dyDescent="0.3">
      <c r="A739" s="2">
        <v>1031</v>
      </c>
      <c r="B739" s="1">
        <v>45008</v>
      </c>
      <c r="C739" s="8" t="s">
        <v>38</v>
      </c>
      <c r="D739" s="8" t="s">
        <v>34</v>
      </c>
      <c r="E739" s="6">
        <v>433.4</v>
      </c>
      <c r="F739" s="2">
        <v>32</v>
      </c>
      <c r="G739" s="8" t="s">
        <v>29</v>
      </c>
      <c r="H739" s="6">
        <v>3351.33</v>
      </c>
      <c r="I739" s="6">
        <v>3711.47</v>
      </c>
      <c r="J739" s="8" t="s">
        <v>30</v>
      </c>
      <c r="K739" s="12">
        <v>0.16</v>
      </c>
      <c r="L739" s="8" t="s">
        <v>18</v>
      </c>
      <c r="M739" s="8" t="s">
        <v>22</v>
      </c>
      <c r="N739" s="10" t="s">
        <v>48</v>
      </c>
      <c r="O739" s="17">
        <f xml:space="preserve"> (Tabla1[[#This Row],[Unit_Price]] - Tabla1[[#This Row],[Unit_Cost]] ) * Tabla1[[#This Row],[Quantity_Sold]]</f>
        <v>11524.479999999996</v>
      </c>
      <c r="P739" s="12">
        <f>Tabla1[[#This Row],[Profit]] / Tabla1[[#This Row],[Sales_Calculated]]</f>
        <v>9.7034328716115142E-2</v>
      </c>
      <c r="Q739" s="20">
        <f xml:space="preserve"> Tabla1[[#This Row],[Unit_Price]] * Tabla1[[#This Row],[Quantity_Sold]]</f>
        <v>118767.03999999999</v>
      </c>
    </row>
    <row r="740" spans="1:17" x14ac:dyDescent="0.3">
      <c r="A740" s="2">
        <v>1001</v>
      </c>
      <c r="B740" s="1">
        <v>45282</v>
      </c>
      <c r="C740" s="8" t="s">
        <v>24</v>
      </c>
      <c r="D740" s="8" t="s">
        <v>21</v>
      </c>
      <c r="E740" s="6">
        <v>8803.94</v>
      </c>
      <c r="F740" s="2">
        <v>45</v>
      </c>
      <c r="G740" s="8" t="s">
        <v>29</v>
      </c>
      <c r="H740" s="6">
        <v>1372.36</v>
      </c>
      <c r="I740" s="6">
        <v>1687.83</v>
      </c>
      <c r="J740" s="8" t="s">
        <v>30</v>
      </c>
      <c r="K740" s="12">
        <v>0.02</v>
      </c>
      <c r="L740" s="8" t="s">
        <v>31</v>
      </c>
      <c r="M740" s="8" t="s">
        <v>19</v>
      </c>
      <c r="N740" s="10" t="s">
        <v>47</v>
      </c>
      <c r="O740" s="17">
        <f xml:space="preserve"> (Tabla1[[#This Row],[Unit_Price]] - Tabla1[[#This Row],[Unit_Cost]] ) * Tabla1[[#This Row],[Quantity_Sold]]</f>
        <v>14196.150000000001</v>
      </c>
      <c r="P740" s="12">
        <f>Tabla1[[#This Row],[Profit]] / Tabla1[[#This Row],[Sales_Calculated]]</f>
        <v>0.18690863416339326</v>
      </c>
      <c r="Q740" s="20">
        <f xml:space="preserve"> Tabla1[[#This Row],[Unit_Price]] * Tabla1[[#This Row],[Quantity_Sold]]</f>
        <v>75952.349999999991</v>
      </c>
    </row>
    <row r="741" spans="1:17" x14ac:dyDescent="0.3">
      <c r="A741" s="2">
        <v>1054</v>
      </c>
      <c r="B741" s="1">
        <v>45184</v>
      </c>
      <c r="C741" s="8" t="s">
        <v>14</v>
      </c>
      <c r="D741" s="8" t="s">
        <v>25</v>
      </c>
      <c r="E741" s="6">
        <v>2509.63</v>
      </c>
      <c r="F741" s="2">
        <v>16</v>
      </c>
      <c r="G741" s="8" t="s">
        <v>35</v>
      </c>
      <c r="H741" s="6">
        <v>4557.79</v>
      </c>
      <c r="I741" s="6">
        <v>5043.3599999999997</v>
      </c>
      <c r="J741" s="8" t="s">
        <v>17</v>
      </c>
      <c r="K741" s="12">
        <v>0.14000000000000001</v>
      </c>
      <c r="L741" s="8" t="s">
        <v>31</v>
      </c>
      <c r="M741" s="8" t="s">
        <v>22</v>
      </c>
      <c r="N741" s="10" t="s">
        <v>32</v>
      </c>
      <c r="O741" s="17">
        <f xml:space="preserve"> (Tabla1[[#This Row],[Unit_Price]] - Tabla1[[#This Row],[Unit_Cost]] ) * Tabla1[[#This Row],[Quantity_Sold]]</f>
        <v>7769.1199999999953</v>
      </c>
      <c r="P741" s="12">
        <f>Tabla1[[#This Row],[Profit]] / Tabla1[[#This Row],[Sales_Calculated]]</f>
        <v>9.6279067922971931E-2</v>
      </c>
      <c r="Q741" s="20">
        <f xml:space="preserve"> Tabla1[[#This Row],[Unit_Price]] * Tabla1[[#This Row],[Quantity_Sold]]</f>
        <v>80693.759999999995</v>
      </c>
    </row>
    <row r="742" spans="1:17" x14ac:dyDescent="0.3">
      <c r="A742" s="2">
        <v>1003</v>
      </c>
      <c r="B742" s="1">
        <v>45132</v>
      </c>
      <c r="C742" s="8" t="s">
        <v>38</v>
      </c>
      <c r="D742" s="8" t="s">
        <v>21</v>
      </c>
      <c r="E742" s="6">
        <v>5617.64</v>
      </c>
      <c r="F742" s="2">
        <v>5</v>
      </c>
      <c r="G742" s="8" t="s">
        <v>26</v>
      </c>
      <c r="H742" s="6">
        <v>2206.58</v>
      </c>
      <c r="I742" s="6">
        <v>2490.4699999999998</v>
      </c>
      <c r="J742" s="8" t="s">
        <v>30</v>
      </c>
      <c r="K742" s="12">
        <v>0.28000000000000003</v>
      </c>
      <c r="L742" s="8" t="s">
        <v>18</v>
      </c>
      <c r="M742" s="8" t="s">
        <v>19</v>
      </c>
      <c r="N742" s="10" t="s">
        <v>41</v>
      </c>
      <c r="O742" s="17">
        <f xml:space="preserve"> (Tabla1[[#This Row],[Unit_Price]] - Tabla1[[#This Row],[Unit_Cost]] ) * Tabla1[[#This Row],[Quantity_Sold]]</f>
        <v>1419.4499999999994</v>
      </c>
      <c r="P742" s="12">
        <f>Tabla1[[#This Row],[Profit]] / Tabla1[[#This Row],[Sales_Calculated]]</f>
        <v>0.11399053190763185</v>
      </c>
      <c r="Q742" s="20">
        <f xml:space="preserve"> Tabla1[[#This Row],[Unit_Price]] * Tabla1[[#This Row],[Quantity_Sold]]</f>
        <v>12452.349999999999</v>
      </c>
    </row>
    <row r="743" spans="1:17" x14ac:dyDescent="0.3">
      <c r="A743" s="2">
        <v>1016</v>
      </c>
      <c r="B743" s="1">
        <v>45003</v>
      </c>
      <c r="C743" s="8" t="s">
        <v>24</v>
      </c>
      <c r="D743" s="8" t="s">
        <v>25</v>
      </c>
      <c r="E743" s="6">
        <v>485.9</v>
      </c>
      <c r="F743" s="2">
        <v>4</v>
      </c>
      <c r="G743" s="8" t="s">
        <v>26</v>
      </c>
      <c r="H743" s="6">
        <v>688.98</v>
      </c>
      <c r="I743" s="6">
        <v>863.81</v>
      </c>
      <c r="J743" s="8" t="s">
        <v>30</v>
      </c>
      <c r="K743" s="12">
        <v>0.27</v>
      </c>
      <c r="L743" s="8" t="s">
        <v>31</v>
      </c>
      <c r="M743" s="8" t="s">
        <v>22</v>
      </c>
      <c r="N743" s="10" t="s">
        <v>28</v>
      </c>
      <c r="O743" s="17">
        <f xml:space="preserve"> (Tabla1[[#This Row],[Unit_Price]] - Tabla1[[#This Row],[Unit_Cost]] ) * Tabla1[[#This Row],[Quantity_Sold]]</f>
        <v>699.31999999999971</v>
      </c>
      <c r="P743" s="12">
        <f>Tabla1[[#This Row],[Profit]] / Tabla1[[#This Row],[Sales_Calculated]]</f>
        <v>0.20239404498674471</v>
      </c>
      <c r="Q743" s="20">
        <f xml:space="preserve"> Tabla1[[#This Row],[Unit_Price]] * Tabla1[[#This Row],[Quantity_Sold]]</f>
        <v>3455.24</v>
      </c>
    </row>
    <row r="744" spans="1:17" x14ac:dyDescent="0.3">
      <c r="A744" s="2">
        <v>1087</v>
      </c>
      <c r="B744" s="1">
        <v>44938</v>
      </c>
      <c r="C744" s="8" t="s">
        <v>33</v>
      </c>
      <c r="D744" s="8" t="s">
        <v>15</v>
      </c>
      <c r="E744" s="6">
        <v>6701.79</v>
      </c>
      <c r="F744" s="2">
        <v>21</v>
      </c>
      <c r="G744" s="8" t="s">
        <v>26</v>
      </c>
      <c r="H744" s="6">
        <v>3724.38</v>
      </c>
      <c r="I744" s="6">
        <v>3988.7</v>
      </c>
      <c r="J744" s="8" t="s">
        <v>30</v>
      </c>
      <c r="K744" s="12">
        <v>0.03</v>
      </c>
      <c r="L744" s="8" t="s">
        <v>27</v>
      </c>
      <c r="M744" s="8" t="s">
        <v>22</v>
      </c>
      <c r="N744" s="10" t="s">
        <v>53</v>
      </c>
      <c r="O744" s="17">
        <f xml:space="preserve"> (Tabla1[[#This Row],[Unit_Price]] - Tabla1[[#This Row],[Unit_Cost]] ) * Tabla1[[#This Row],[Quantity_Sold]]</f>
        <v>5550.7199999999939</v>
      </c>
      <c r="P744" s="12">
        <f>Tabla1[[#This Row],[Profit]] / Tabla1[[#This Row],[Sales_Calculated]]</f>
        <v>6.6267204853711667E-2</v>
      </c>
      <c r="Q744" s="20">
        <f xml:space="preserve"> Tabla1[[#This Row],[Unit_Price]] * Tabla1[[#This Row],[Quantity_Sold]]</f>
        <v>83762.7</v>
      </c>
    </row>
    <row r="745" spans="1:17" x14ac:dyDescent="0.3">
      <c r="A745" s="2">
        <v>1057</v>
      </c>
      <c r="B745" s="1">
        <v>45221</v>
      </c>
      <c r="C745" s="8" t="s">
        <v>38</v>
      </c>
      <c r="D745" s="8" t="s">
        <v>25</v>
      </c>
      <c r="E745" s="6">
        <v>3297.97</v>
      </c>
      <c r="F745" s="2">
        <v>40</v>
      </c>
      <c r="G745" s="8" t="s">
        <v>29</v>
      </c>
      <c r="H745" s="6">
        <v>3233.37</v>
      </c>
      <c r="I745" s="6">
        <v>3723.21</v>
      </c>
      <c r="J745" s="8" t="s">
        <v>30</v>
      </c>
      <c r="K745" s="12">
        <v>0.22</v>
      </c>
      <c r="L745" s="8" t="s">
        <v>27</v>
      </c>
      <c r="M745" s="8" t="s">
        <v>22</v>
      </c>
      <c r="N745" s="10" t="s">
        <v>39</v>
      </c>
      <c r="O745" s="17">
        <f xml:space="preserve"> (Tabla1[[#This Row],[Unit_Price]] - Tabla1[[#This Row],[Unit_Cost]] ) * Tabla1[[#This Row],[Quantity_Sold]]</f>
        <v>19593.600000000006</v>
      </c>
      <c r="P745" s="12">
        <f>Tabla1[[#This Row],[Profit]] / Tabla1[[#This Row],[Sales_Calculated]]</f>
        <v>0.13156389244764602</v>
      </c>
      <c r="Q745" s="20">
        <f xml:space="preserve"> Tabla1[[#This Row],[Unit_Price]] * Tabla1[[#This Row],[Quantity_Sold]]</f>
        <v>148928.4</v>
      </c>
    </row>
    <row r="746" spans="1:17" x14ac:dyDescent="0.3">
      <c r="A746" s="2">
        <v>1075</v>
      </c>
      <c r="B746" s="1">
        <v>45150</v>
      </c>
      <c r="C746" s="8" t="s">
        <v>24</v>
      </c>
      <c r="D746" s="8" t="s">
        <v>34</v>
      </c>
      <c r="E746" s="6">
        <v>8989.4</v>
      </c>
      <c r="F746" s="2">
        <v>14</v>
      </c>
      <c r="G746" s="8" t="s">
        <v>16</v>
      </c>
      <c r="H746" s="6">
        <v>1612.93</v>
      </c>
      <c r="I746" s="6">
        <v>1964.15</v>
      </c>
      <c r="J746" s="8" t="s">
        <v>17</v>
      </c>
      <c r="K746" s="12">
        <v>0.24</v>
      </c>
      <c r="L746" s="8" t="s">
        <v>27</v>
      </c>
      <c r="M746" s="8" t="s">
        <v>22</v>
      </c>
      <c r="N746" s="10" t="s">
        <v>50</v>
      </c>
      <c r="O746" s="17">
        <f xml:space="preserve"> (Tabla1[[#This Row],[Unit_Price]] - Tabla1[[#This Row],[Unit_Cost]] ) * Tabla1[[#This Row],[Quantity_Sold]]</f>
        <v>4917.08</v>
      </c>
      <c r="P746" s="12">
        <f>Tabla1[[#This Row],[Profit]] / Tabla1[[#This Row],[Sales_Calculated]]</f>
        <v>0.17881526360003053</v>
      </c>
      <c r="Q746" s="20">
        <f xml:space="preserve"> Tabla1[[#This Row],[Unit_Price]] * Tabla1[[#This Row],[Quantity_Sold]]</f>
        <v>27498.100000000002</v>
      </c>
    </row>
    <row r="747" spans="1:17" x14ac:dyDescent="0.3">
      <c r="A747" s="2">
        <v>1012</v>
      </c>
      <c r="B747" s="1">
        <v>44939</v>
      </c>
      <c r="C747" s="8" t="s">
        <v>42</v>
      </c>
      <c r="D747" s="8" t="s">
        <v>34</v>
      </c>
      <c r="E747" s="6">
        <v>8892.3700000000008</v>
      </c>
      <c r="F747" s="2">
        <v>39</v>
      </c>
      <c r="G747" s="8" t="s">
        <v>16</v>
      </c>
      <c r="H747" s="6">
        <v>3126.52</v>
      </c>
      <c r="I747" s="6">
        <v>3465.79</v>
      </c>
      <c r="J747" s="8" t="s">
        <v>30</v>
      </c>
      <c r="K747" s="12">
        <v>0.08</v>
      </c>
      <c r="L747" s="8" t="s">
        <v>18</v>
      </c>
      <c r="M747" s="8" t="s">
        <v>19</v>
      </c>
      <c r="N747" s="10" t="s">
        <v>52</v>
      </c>
      <c r="O747" s="17">
        <f xml:space="preserve"> (Tabla1[[#This Row],[Unit_Price]] - Tabla1[[#This Row],[Unit_Cost]] ) * Tabla1[[#This Row],[Quantity_Sold]]</f>
        <v>13231.529999999999</v>
      </c>
      <c r="P747" s="12">
        <f>Tabla1[[#This Row],[Profit]] / Tabla1[[#This Row],[Sales_Calculated]]</f>
        <v>9.7891101307349834E-2</v>
      </c>
      <c r="Q747" s="20">
        <f xml:space="preserve"> Tabla1[[#This Row],[Unit_Price]] * Tabla1[[#This Row],[Quantity_Sold]]</f>
        <v>135165.81</v>
      </c>
    </row>
    <row r="748" spans="1:17" x14ac:dyDescent="0.3">
      <c r="A748" s="2">
        <v>1074</v>
      </c>
      <c r="B748" s="1">
        <v>44972</v>
      </c>
      <c r="C748" s="8" t="s">
        <v>42</v>
      </c>
      <c r="D748" s="8" t="s">
        <v>25</v>
      </c>
      <c r="E748" s="6">
        <v>3320.38</v>
      </c>
      <c r="F748" s="2">
        <v>31</v>
      </c>
      <c r="G748" s="8" t="s">
        <v>16</v>
      </c>
      <c r="H748" s="6">
        <v>1138.32</v>
      </c>
      <c r="I748" s="6">
        <v>1266.25</v>
      </c>
      <c r="J748" s="8" t="s">
        <v>17</v>
      </c>
      <c r="K748" s="12">
        <v>0.14000000000000001</v>
      </c>
      <c r="L748" s="8" t="s">
        <v>18</v>
      </c>
      <c r="M748" s="8" t="s">
        <v>22</v>
      </c>
      <c r="N748" s="10" t="s">
        <v>43</v>
      </c>
      <c r="O748" s="17">
        <f xml:space="preserve"> (Tabla1[[#This Row],[Unit_Price]] - Tabla1[[#This Row],[Unit_Cost]] ) * Tabla1[[#This Row],[Quantity_Sold]]</f>
        <v>3965.8300000000017</v>
      </c>
      <c r="P748" s="12">
        <f>Tabla1[[#This Row],[Profit]] / Tabla1[[#This Row],[Sales_Calculated]]</f>
        <v>0.10103060217176707</v>
      </c>
      <c r="Q748" s="20">
        <f xml:space="preserve"> Tabla1[[#This Row],[Unit_Price]] * Tabla1[[#This Row],[Quantity_Sold]]</f>
        <v>39253.75</v>
      </c>
    </row>
    <row r="749" spans="1:17" x14ac:dyDescent="0.3">
      <c r="A749" s="2">
        <v>1096</v>
      </c>
      <c r="B749" s="1">
        <v>45081</v>
      </c>
      <c r="C749" s="8" t="s">
        <v>14</v>
      </c>
      <c r="D749" s="8" t="s">
        <v>25</v>
      </c>
      <c r="E749" s="6">
        <v>9019.51</v>
      </c>
      <c r="F749" s="2">
        <v>14</v>
      </c>
      <c r="G749" s="8" t="s">
        <v>16</v>
      </c>
      <c r="H749" s="6">
        <v>2251.9499999999998</v>
      </c>
      <c r="I749" s="6">
        <v>2626.3199999999902</v>
      </c>
      <c r="J749" s="8" t="s">
        <v>17</v>
      </c>
      <c r="K749" s="12">
        <v>0.21</v>
      </c>
      <c r="L749" s="8" t="s">
        <v>31</v>
      </c>
      <c r="M749" s="8" t="s">
        <v>19</v>
      </c>
      <c r="N749" s="10" t="s">
        <v>32</v>
      </c>
      <c r="O749" s="17">
        <f xml:space="preserve"> (Tabla1[[#This Row],[Unit_Price]] - Tabla1[[#This Row],[Unit_Cost]] ) * Tabla1[[#This Row],[Quantity_Sold]]</f>
        <v>5241.1799999998648</v>
      </c>
      <c r="P749" s="12">
        <f>Tabla1[[#This Row],[Profit]] / Tabla1[[#This Row],[Sales_Calculated]]</f>
        <v>0.14254546285296221</v>
      </c>
      <c r="Q749" s="20">
        <f xml:space="preserve"> Tabla1[[#This Row],[Unit_Price]] * Tabla1[[#This Row],[Quantity_Sold]]</f>
        <v>36768.479999999865</v>
      </c>
    </row>
    <row r="750" spans="1:17" x14ac:dyDescent="0.3">
      <c r="A750" s="2">
        <v>1016</v>
      </c>
      <c r="B750" s="1">
        <v>45039</v>
      </c>
      <c r="C750" s="8" t="s">
        <v>24</v>
      </c>
      <c r="D750" s="8" t="s">
        <v>25</v>
      </c>
      <c r="E750" s="6">
        <v>9961.9599999999991</v>
      </c>
      <c r="F750" s="2">
        <v>6</v>
      </c>
      <c r="G750" s="8" t="s">
        <v>16</v>
      </c>
      <c r="H750" s="6">
        <v>4502.09</v>
      </c>
      <c r="I750" s="6">
        <v>4879.72</v>
      </c>
      <c r="J750" s="8" t="s">
        <v>30</v>
      </c>
      <c r="K750" s="12">
        <v>0.13</v>
      </c>
      <c r="L750" s="8" t="s">
        <v>31</v>
      </c>
      <c r="M750" s="8" t="s">
        <v>19</v>
      </c>
      <c r="N750" s="10" t="s">
        <v>28</v>
      </c>
      <c r="O750" s="17">
        <f xml:space="preserve"> (Tabla1[[#This Row],[Unit_Price]] - Tabla1[[#This Row],[Unit_Cost]] ) * Tabla1[[#This Row],[Quantity_Sold]]</f>
        <v>2265.7800000000007</v>
      </c>
      <c r="P750" s="12">
        <f>Tabla1[[#This Row],[Profit]] / Tabla1[[#This Row],[Sales_Calculated]]</f>
        <v>7.7387636995565348E-2</v>
      </c>
      <c r="Q750" s="20">
        <f xml:space="preserve"> Tabla1[[#This Row],[Unit_Price]] * Tabla1[[#This Row],[Quantity_Sold]]</f>
        <v>29278.32</v>
      </c>
    </row>
    <row r="751" spans="1:17" x14ac:dyDescent="0.3">
      <c r="A751" s="2">
        <v>1072</v>
      </c>
      <c r="B751" s="1">
        <v>45159</v>
      </c>
      <c r="C751" s="8" t="s">
        <v>42</v>
      </c>
      <c r="D751" s="8" t="s">
        <v>21</v>
      </c>
      <c r="E751" s="6">
        <v>8271.6200000000008</v>
      </c>
      <c r="F751" s="2">
        <v>12</v>
      </c>
      <c r="G751" s="8" t="s">
        <v>29</v>
      </c>
      <c r="H751" s="6">
        <v>710.99</v>
      </c>
      <c r="I751" s="6">
        <v>876.46</v>
      </c>
      <c r="J751" s="8" t="s">
        <v>17</v>
      </c>
      <c r="K751" s="12">
        <v>0.03</v>
      </c>
      <c r="L751" s="8" t="s">
        <v>31</v>
      </c>
      <c r="M751" s="8" t="s">
        <v>19</v>
      </c>
      <c r="N751" s="10" t="s">
        <v>51</v>
      </c>
      <c r="O751" s="17">
        <f xml:space="preserve"> (Tabla1[[#This Row],[Unit_Price]] - Tabla1[[#This Row],[Unit_Cost]] ) * Tabla1[[#This Row],[Quantity_Sold]]</f>
        <v>1985.6400000000003</v>
      </c>
      <c r="P751" s="12">
        <f>Tabla1[[#This Row],[Profit]] / Tabla1[[#This Row],[Sales_Calculated]]</f>
        <v>0.18879355589530614</v>
      </c>
      <c r="Q751" s="20">
        <f xml:space="preserve"> Tabla1[[#This Row],[Unit_Price]] * Tabla1[[#This Row],[Quantity_Sold]]</f>
        <v>10517.52</v>
      </c>
    </row>
    <row r="752" spans="1:17" x14ac:dyDescent="0.3">
      <c r="A752" s="2">
        <v>1076</v>
      </c>
      <c r="B752" s="1">
        <v>44943</v>
      </c>
      <c r="C752" s="8" t="s">
        <v>33</v>
      </c>
      <c r="D752" s="8" t="s">
        <v>25</v>
      </c>
      <c r="E752" s="6">
        <v>8464.23</v>
      </c>
      <c r="F752" s="2">
        <v>16</v>
      </c>
      <c r="G752" s="8" t="s">
        <v>29</v>
      </c>
      <c r="H752" s="6">
        <v>1964.15</v>
      </c>
      <c r="I752" s="6">
        <v>2211.17</v>
      </c>
      <c r="J752" s="8" t="s">
        <v>17</v>
      </c>
      <c r="K752" s="12">
        <v>0.21</v>
      </c>
      <c r="L752" s="8" t="s">
        <v>27</v>
      </c>
      <c r="M752" s="8" t="s">
        <v>19</v>
      </c>
      <c r="N752" s="10" t="s">
        <v>44</v>
      </c>
      <c r="O752" s="17">
        <f xml:space="preserve"> (Tabla1[[#This Row],[Unit_Price]] - Tabla1[[#This Row],[Unit_Cost]] ) * Tabla1[[#This Row],[Quantity_Sold]]</f>
        <v>3952.3199999999997</v>
      </c>
      <c r="P752" s="12">
        <f>Tabla1[[#This Row],[Profit]] / Tabla1[[#This Row],[Sales_Calculated]]</f>
        <v>0.11171461262589488</v>
      </c>
      <c r="Q752" s="20">
        <f xml:space="preserve"> Tabla1[[#This Row],[Unit_Price]] * Tabla1[[#This Row],[Quantity_Sold]]</f>
        <v>35378.720000000001</v>
      </c>
    </row>
    <row r="753" spans="1:17" x14ac:dyDescent="0.3">
      <c r="A753" s="2">
        <v>1024</v>
      </c>
      <c r="B753" s="1">
        <v>45286</v>
      </c>
      <c r="C753" s="8" t="s">
        <v>24</v>
      </c>
      <c r="D753" s="8" t="s">
        <v>15</v>
      </c>
      <c r="E753" s="6">
        <v>2565.19</v>
      </c>
      <c r="F753" s="2">
        <v>17</v>
      </c>
      <c r="G753" s="8" t="s">
        <v>16</v>
      </c>
      <c r="H753" s="6">
        <v>4114.66</v>
      </c>
      <c r="I753" s="6">
        <v>4269.0199999999904</v>
      </c>
      <c r="J753" s="8" t="s">
        <v>17</v>
      </c>
      <c r="K753" s="12">
        <v>0.27</v>
      </c>
      <c r="L753" s="8" t="s">
        <v>27</v>
      </c>
      <c r="M753" s="8" t="s">
        <v>22</v>
      </c>
      <c r="N753" s="10" t="s">
        <v>45</v>
      </c>
      <c r="O753" s="17">
        <f xml:space="preserve"> (Tabla1[[#This Row],[Unit_Price]] - Tabla1[[#This Row],[Unit_Cost]] ) * Tabla1[[#This Row],[Quantity_Sold]]</f>
        <v>2624.1199999998398</v>
      </c>
      <c r="P753" s="12">
        <f>Tabla1[[#This Row],[Profit]] / Tabla1[[#This Row],[Sales_Calculated]]</f>
        <v>3.6158181503012615E-2</v>
      </c>
      <c r="Q753" s="20">
        <f xml:space="preserve"> Tabla1[[#This Row],[Unit_Price]] * Tabla1[[#This Row],[Quantity_Sold]]</f>
        <v>72573.339999999836</v>
      </c>
    </row>
    <row r="754" spans="1:17" x14ac:dyDescent="0.3">
      <c r="A754" s="2">
        <v>1028</v>
      </c>
      <c r="B754" s="1">
        <v>45149</v>
      </c>
      <c r="C754" s="8" t="s">
        <v>33</v>
      </c>
      <c r="D754" s="8" t="s">
        <v>21</v>
      </c>
      <c r="E754" s="6">
        <v>5809.35</v>
      </c>
      <c r="F754" s="2">
        <v>45</v>
      </c>
      <c r="G754" s="8" t="s">
        <v>29</v>
      </c>
      <c r="H754" s="6">
        <v>4848.9799999999996</v>
      </c>
      <c r="I754" s="6">
        <v>4985.75</v>
      </c>
      <c r="J754" s="8" t="s">
        <v>17</v>
      </c>
      <c r="K754" s="12">
        <v>0.2</v>
      </c>
      <c r="L754" s="8" t="s">
        <v>27</v>
      </c>
      <c r="M754" s="8" t="s">
        <v>19</v>
      </c>
      <c r="N754" s="10" t="s">
        <v>37</v>
      </c>
      <c r="O754" s="17">
        <f xml:space="preserve"> (Tabla1[[#This Row],[Unit_Price]] - Tabla1[[#This Row],[Unit_Cost]] ) * Tabla1[[#This Row],[Quantity_Sold]]</f>
        <v>6154.6500000000196</v>
      </c>
      <c r="P754" s="12">
        <f>Tabla1[[#This Row],[Profit]] / Tabla1[[#This Row],[Sales_Calculated]]</f>
        <v>2.743218171789609E-2</v>
      </c>
      <c r="Q754" s="20">
        <f xml:space="preserve"> Tabla1[[#This Row],[Unit_Price]] * Tabla1[[#This Row],[Quantity_Sold]]</f>
        <v>224358.75</v>
      </c>
    </row>
    <row r="755" spans="1:17" x14ac:dyDescent="0.3">
      <c r="A755" s="2">
        <v>1008</v>
      </c>
      <c r="B755" s="1">
        <v>45280</v>
      </c>
      <c r="C755" s="8" t="s">
        <v>33</v>
      </c>
      <c r="D755" s="8" t="s">
        <v>21</v>
      </c>
      <c r="E755" s="6">
        <v>765.83</v>
      </c>
      <c r="F755" s="2">
        <v>23</v>
      </c>
      <c r="G755" s="8" t="s">
        <v>29</v>
      </c>
      <c r="H755" s="6">
        <v>2296.9299999999998</v>
      </c>
      <c r="I755" s="6">
        <v>2319.62</v>
      </c>
      <c r="J755" s="8" t="s">
        <v>17</v>
      </c>
      <c r="K755" s="12">
        <v>0.23</v>
      </c>
      <c r="L755" s="8" t="s">
        <v>27</v>
      </c>
      <c r="M755" s="8" t="s">
        <v>22</v>
      </c>
      <c r="N755" s="10" t="s">
        <v>37</v>
      </c>
      <c r="O755" s="17">
        <f xml:space="preserve"> (Tabla1[[#This Row],[Unit_Price]] - Tabla1[[#This Row],[Unit_Cost]] ) * Tabla1[[#This Row],[Quantity_Sold]]</f>
        <v>521.87000000000126</v>
      </c>
      <c r="P755" s="12">
        <f>Tabla1[[#This Row],[Profit]] / Tabla1[[#This Row],[Sales_Calculated]]</f>
        <v>9.7817746010122591E-3</v>
      </c>
      <c r="Q755" s="20">
        <f xml:space="preserve"> Tabla1[[#This Row],[Unit_Price]] * Tabla1[[#This Row],[Quantity_Sold]]</f>
        <v>53351.259999999995</v>
      </c>
    </row>
    <row r="756" spans="1:17" x14ac:dyDescent="0.3">
      <c r="A756" s="2">
        <v>1092</v>
      </c>
      <c r="B756" s="1">
        <v>45114</v>
      </c>
      <c r="C756" s="8" t="s">
        <v>42</v>
      </c>
      <c r="D756" s="8" t="s">
        <v>25</v>
      </c>
      <c r="E756" s="6">
        <v>1039.69</v>
      </c>
      <c r="F756" s="2">
        <v>14</v>
      </c>
      <c r="G756" s="8" t="s">
        <v>16</v>
      </c>
      <c r="H756" s="6">
        <v>2559.65</v>
      </c>
      <c r="I756" s="6">
        <v>2709.4</v>
      </c>
      <c r="J756" s="8" t="s">
        <v>17</v>
      </c>
      <c r="K756" s="12">
        <v>0.11</v>
      </c>
      <c r="L756" s="8" t="s">
        <v>31</v>
      </c>
      <c r="M756" s="8" t="s">
        <v>22</v>
      </c>
      <c r="N756" s="10" t="s">
        <v>43</v>
      </c>
      <c r="O756" s="17">
        <f xml:space="preserve"> (Tabla1[[#This Row],[Unit_Price]] - Tabla1[[#This Row],[Unit_Cost]] ) * Tabla1[[#This Row],[Quantity_Sold]]</f>
        <v>2096.5</v>
      </c>
      <c r="P756" s="12">
        <f>Tabla1[[#This Row],[Profit]] / Tabla1[[#This Row],[Sales_Calculated]]</f>
        <v>5.5270539602864106E-2</v>
      </c>
      <c r="Q756" s="20">
        <f xml:space="preserve"> Tabla1[[#This Row],[Unit_Price]] * Tabla1[[#This Row],[Quantity_Sold]]</f>
        <v>37931.599999999999</v>
      </c>
    </row>
    <row r="757" spans="1:17" x14ac:dyDescent="0.3">
      <c r="A757" s="2">
        <v>1036</v>
      </c>
      <c r="B757" s="1">
        <v>45270</v>
      </c>
      <c r="C757" s="8" t="s">
        <v>24</v>
      </c>
      <c r="D757" s="8" t="s">
        <v>15</v>
      </c>
      <c r="E757" s="6">
        <v>9989.0400000000009</v>
      </c>
      <c r="F757" s="2">
        <v>7</v>
      </c>
      <c r="G757" s="8" t="s">
        <v>26</v>
      </c>
      <c r="H757" s="6">
        <v>2882.25</v>
      </c>
      <c r="I757" s="6">
        <v>3163.7</v>
      </c>
      <c r="J757" s="8" t="s">
        <v>17</v>
      </c>
      <c r="K757" s="12">
        <v>0.05</v>
      </c>
      <c r="L757" s="8" t="s">
        <v>18</v>
      </c>
      <c r="M757" s="8" t="s">
        <v>22</v>
      </c>
      <c r="N757" s="10" t="s">
        <v>45</v>
      </c>
      <c r="O757" s="17">
        <f xml:space="preserve"> (Tabla1[[#This Row],[Unit_Price]] - Tabla1[[#This Row],[Unit_Cost]] ) * Tabla1[[#This Row],[Quantity_Sold]]</f>
        <v>1970.1499999999987</v>
      </c>
      <c r="P757" s="12">
        <f>Tabla1[[#This Row],[Profit]] / Tabla1[[#This Row],[Sales_Calculated]]</f>
        <v>8.8962290988399612E-2</v>
      </c>
      <c r="Q757" s="20">
        <f xml:space="preserve"> Tabla1[[#This Row],[Unit_Price]] * Tabla1[[#This Row],[Quantity_Sold]]</f>
        <v>22145.899999999998</v>
      </c>
    </row>
    <row r="758" spans="1:17" x14ac:dyDescent="0.3">
      <c r="A758" s="2">
        <v>1090</v>
      </c>
      <c r="B758" s="1">
        <v>45291</v>
      </c>
      <c r="C758" s="8" t="s">
        <v>38</v>
      </c>
      <c r="D758" s="8" t="s">
        <v>21</v>
      </c>
      <c r="E758" s="6">
        <v>3333.73</v>
      </c>
      <c r="F758" s="2">
        <v>46</v>
      </c>
      <c r="G758" s="8" t="s">
        <v>29</v>
      </c>
      <c r="H758" s="6">
        <v>4665.12</v>
      </c>
      <c r="I758" s="6">
        <v>4675.8999999999996</v>
      </c>
      <c r="J758" s="8" t="s">
        <v>30</v>
      </c>
      <c r="K758" s="12">
        <v>0.19</v>
      </c>
      <c r="L758" s="8" t="s">
        <v>18</v>
      </c>
      <c r="M758" s="8" t="s">
        <v>22</v>
      </c>
      <c r="N758" s="10" t="s">
        <v>41</v>
      </c>
      <c r="O758" s="17">
        <f xml:space="preserve"> (Tabla1[[#This Row],[Unit_Price]] - Tabla1[[#This Row],[Unit_Cost]] ) * Tabla1[[#This Row],[Quantity_Sold]]</f>
        <v>495.87999999998829</v>
      </c>
      <c r="P758" s="12">
        <f>Tabla1[[#This Row],[Profit]] / Tabla1[[#This Row],[Sales_Calculated]]</f>
        <v>2.3054385252036496E-3</v>
      </c>
      <c r="Q758" s="20">
        <f xml:space="preserve"> Tabla1[[#This Row],[Unit_Price]] * Tabla1[[#This Row],[Quantity_Sold]]</f>
        <v>215091.4</v>
      </c>
    </row>
    <row r="759" spans="1:17" x14ac:dyDescent="0.3">
      <c r="A759" s="2">
        <v>1008</v>
      </c>
      <c r="B759" s="1">
        <v>45089</v>
      </c>
      <c r="C759" s="8" t="s">
        <v>42</v>
      </c>
      <c r="D759" s="8" t="s">
        <v>34</v>
      </c>
      <c r="E759" s="6">
        <v>7507.02</v>
      </c>
      <c r="F759" s="2">
        <v>32</v>
      </c>
      <c r="G759" s="8" t="s">
        <v>26</v>
      </c>
      <c r="H759" s="6">
        <v>4298.12</v>
      </c>
      <c r="I759" s="6">
        <v>4446.8999999999996</v>
      </c>
      <c r="J759" s="8" t="s">
        <v>30</v>
      </c>
      <c r="K759" s="12">
        <v>0.1</v>
      </c>
      <c r="L759" s="8" t="s">
        <v>27</v>
      </c>
      <c r="M759" s="8" t="s">
        <v>19</v>
      </c>
      <c r="N759" s="10" t="s">
        <v>52</v>
      </c>
      <c r="O759" s="17">
        <f xml:space="preserve"> (Tabla1[[#This Row],[Unit_Price]] - Tabla1[[#This Row],[Unit_Cost]] ) * Tabla1[[#This Row],[Quantity_Sold]]</f>
        <v>4760.9599999999919</v>
      </c>
      <c r="P759" s="12">
        <f>Tabla1[[#This Row],[Profit]] / Tabla1[[#This Row],[Sales_Calculated]]</f>
        <v>3.3457014999212879E-2</v>
      </c>
      <c r="Q759" s="20">
        <f xml:space="preserve"> Tabla1[[#This Row],[Unit_Price]] * Tabla1[[#This Row],[Quantity_Sold]]</f>
        <v>142300.79999999999</v>
      </c>
    </row>
    <row r="760" spans="1:17" x14ac:dyDescent="0.3">
      <c r="A760" s="2">
        <v>1058</v>
      </c>
      <c r="B760" s="1">
        <v>45252</v>
      </c>
      <c r="C760" s="8" t="s">
        <v>42</v>
      </c>
      <c r="D760" s="8" t="s">
        <v>21</v>
      </c>
      <c r="E760" s="6">
        <v>8085.98</v>
      </c>
      <c r="F760" s="2">
        <v>15</v>
      </c>
      <c r="G760" s="8" t="s">
        <v>29</v>
      </c>
      <c r="H760" s="6">
        <v>894.48</v>
      </c>
      <c r="I760" s="6">
        <v>1336.37</v>
      </c>
      <c r="J760" s="8" t="s">
        <v>17</v>
      </c>
      <c r="K760" s="12">
        <v>0.26</v>
      </c>
      <c r="L760" s="8" t="s">
        <v>18</v>
      </c>
      <c r="M760" s="8" t="s">
        <v>22</v>
      </c>
      <c r="N760" s="10" t="s">
        <v>51</v>
      </c>
      <c r="O760" s="17">
        <f xml:space="preserve"> (Tabla1[[#This Row],[Unit_Price]] - Tabla1[[#This Row],[Unit_Cost]] ) * Tabla1[[#This Row],[Quantity_Sold]]</f>
        <v>6628.3499999999985</v>
      </c>
      <c r="P760" s="12">
        <f>Tabla1[[#This Row],[Profit]] / Tabla1[[#This Row],[Sales_Calculated]]</f>
        <v>0.33066441180212058</v>
      </c>
      <c r="Q760" s="20">
        <f xml:space="preserve"> Tabla1[[#This Row],[Unit_Price]] * Tabla1[[#This Row],[Quantity_Sold]]</f>
        <v>20045.55</v>
      </c>
    </row>
    <row r="761" spans="1:17" x14ac:dyDescent="0.3">
      <c r="A761" s="2">
        <v>1060</v>
      </c>
      <c r="B761" s="1">
        <v>45000</v>
      </c>
      <c r="C761" s="8" t="s">
        <v>24</v>
      </c>
      <c r="D761" s="8" t="s">
        <v>25</v>
      </c>
      <c r="E761" s="6">
        <v>8594.43</v>
      </c>
      <c r="F761" s="2">
        <v>44</v>
      </c>
      <c r="G761" s="8" t="s">
        <v>29</v>
      </c>
      <c r="H761" s="6">
        <v>2211.9499999999998</v>
      </c>
      <c r="I761" s="6">
        <v>2512.8399999999901</v>
      </c>
      <c r="J761" s="8" t="s">
        <v>17</v>
      </c>
      <c r="K761" s="12">
        <v>0.04</v>
      </c>
      <c r="L761" s="8" t="s">
        <v>18</v>
      </c>
      <c r="M761" s="8" t="s">
        <v>19</v>
      </c>
      <c r="N761" s="10" t="s">
        <v>28</v>
      </c>
      <c r="O761" s="17">
        <f xml:space="preserve"> (Tabla1[[#This Row],[Unit_Price]] - Tabla1[[#This Row],[Unit_Cost]] ) * Tabla1[[#This Row],[Quantity_Sold]]</f>
        <v>13239.159999999574</v>
      </c>
      <c r="P761" s="12">
        <f>Tabla1[[#This Row],[Profit]] / Tabla1[[#This Row],[Sales_Calculated]]</f>
        <v>0.11974101017175447</v>
      </c>
      <c r="Q761" s="20">
        <f xml:space="preserve"> Tabla1[[#This Row],[Unit_Price]] * Tabla1[[#This Row],[Quantity_Sold]]</f>
        <v>110564.95999999957</v>
      </c>
    </row>
    <row r="762" spans="1:17" x14ac:dyDescent="0.3">
      <c r="A762" s="2">
        <v>1050</v>
      </c>
      <c r="B762" s="1">
        <v>45159</v>
      </c>
      <c r="C762" s="8" t="s">
        <v>24</v>
      </c>
      <c r="D762" s="8" t="s">
        <v>15</v>
      </c>
      <c r="E762" s="6">
        <v>9976.52</v>
      </c>
      <c r="F762" s="2">
        <v>17</v>
      </c>
      <c r="G762" s="8" t="s">
        <v>16</v>
      </c>
      <c r="H762" s="6">
        <v>2346.8000000000002</v>
      </c>
      <c r="I762" s="6">
        <v>2654.65</v>
      </c>
      <c r="J762" s="8" t="s">
        <v>30</v>
      </c>
      <c r="K762" s="12">
        <v>0.13</v>
      </c>
      <c r="L762" s="8" t="s">
        <v>18</v>
      </c>
      <c r="M762" s="8" t="s">
        <v>22</v>
      </c>
      <c r="N762" s="10" t="s">
        <v>45</v>
      </c>
      <c r="O762" s="17">
        <f xml:space="preserve"> (Tabla1[[#This Row],[Unit_Price]] - Tabla1[[#This Row],[Unit_Cost]] ) * Tabla1[[#This Row],[Quantity_Sold]]</f>
        <v>5233.4499999999989</v>
      </c>
      <c r="P762" s="12">
        <f>Tabla1[[#This Row],[Profit]] / Tabla1[[#This Row],[Sales_Calculated]]</f>
        <v>0.11596632324411878</v>
      </c>
      <c r="Q762" s="20">
        <f xml:space="preserve"> Tabla1[[#This Row],[Unit_Price]] * Tabla1[[#This Row],[Quantity_Sold]]</f>
        <v>45129.05</v>
      </c>
    </row>
    <row r="763" spans="1:17" x14ac:dyDescent="0.3">
      <c r="A763" s="2">
        <v>1028</v>
      </c>
      <c r="B763" s="1">
        <v>45150</v>
      </c>
      <c r="C763" s="8" t="s">
        <v>33</v>
      </c>
      <c r="D763" s="8" t="s">
        <v>25</v>
      </c>
      <c r="E763" s="6">
        <v>2490.8200000000002</v>
      </c>
      <c r="F763" s="2">
        <v>41</v>
      </c>
      <c r="G763" s="8" t="s">
        <v>29</v>
      </c>
      <c r="H763" s="6">
        <v>3956.03</v>
      </c>
      <c r="I763" s="6">
        <v>4163.68</v>
      </c>
      <c r="J763" s="8" t="s">
        <v>30</v>
      </c>
      <c r="K763" s="12">
        <v>0.12</v>
      </c>
      <c r="L763" s="8" t="s">
        <v>27</v>
      </c>
      <c r="M763" s="8" t="s">
        <v>22</v>
      </c>
      <c r="N763" s="10" t="s">
        <v>44</v>
      </c>
      <c r="O763" s="17">
        <f xml:space="preserve"> (Tabla1[[#This Row],[Unit_Price]] - Tabla1[[#This Row],[Unit_Cost]] ) * Tabla1[[#This Row],[Quantity_Sold]]</f>
        <v>8513.6500000000033</v>
      </c>
      <c r="P763" s="12">
        <f>Tabla1[[#This Row],[Profit]] / Tabla1[[#This Row],[Sales_Calculated]]</f>
        <v>4.9871748069015891E-2</v>
      </c>
      <c r="Q763" s="20">
        <f xml:space="preserve"> Tabla1[[#This Row],[Unit_Price]] * Tabla1[[#This Row],[Quantity_Sold]]</f>
        <v>170710.88</v>
      </c>
    </row>
    <row r="764" spans="1:17" x14ac:dyDescent="0.3">
      <c r="A764" s="2">
        <v>1092</v>
      </c>
      <c r="B764" s="1">
        <v>45245</v>
      </c>
      <c r="C764" s="8" t="s">
        <v>24</v>
      </c>
      <c r="D764" s="8" t="s">
        <v>34</v>
      </c>
      <c r="E764" s="6">
        <v>499.47</v>
      </c>
      <c r="F764" s="2">
        <v>47</v>
      </c>
      <c r="G764" s="8" t="s">
        <v>35</v>
      </c>
      <c r="H764" s="6">
        <v>3034.32</v>
      </c>
      <c r="I764" s="6">
        <v>3375.79</v>
      </c>
      <c r="J764" s="8" t="s">
        <v>30</v>
      </c>
      <c r="K764" s="12">
        <v>0.28000000000000003</v>
      </c>
      <c r="L764" s="8" t="s">
        <v>31</v>
      </c>
      <c r="M764" s="8" t="s">
        <v>19</v>
      </c>
      <c r="N764" s="10" t="s">
        <v>50</v>
      </c>
      <c r="O764" s="17">
        <f xml:space="preserve"> (Tabla1[[#This Row],[Unit_Price]] - Tabla1[[#This Row],[Unit_Cost]] ) * Tabla1[[#This Row],[Quantity_Sold]]</f>
        <v>16049.089999999991</v>
      </c>
      <c r="P764" s="12">
        <f>Tabla1[[#This Row],[Profit]] / Tabla1[[#This Row],[Sales_Calculated]]</f>
        <v>0.10115261909064242</v>
      </c>
      <c r="Q764" s="20">
        <f xml:space="preserve"> Tabla1[[#This Row],[Unit_Price]] * Tabla1[[#This Row],[Quantity_Sold]]</f>
        <v>158662.13</v>
      </c>
    </row>
    <row r="765" spans="1:17" x14ac:dyDescent="0.3">
      <c r="A765" s="2">
        <v>1041</v>
      </c>
      <c r="B765" s="1">
        <v>44986</v>
      </c>
      <c r="C765" s="8" t="s">
        <v>33</v>
      </c>
      <c r="D765" s="8" t="s">
        <v>34</v>
      </c>
      <c r="E765" s="6">
        <v>4170.8</v>
      </c>
      <c r="F765" s="2">
        <v>44</v>
      </c>
      <c r="G765" s="8" t="s">
        <v>35</v>
      </c>
      <c r="H765" s="6">
        <v>3288.39</v>
      </c>
      <c r="I765" s="6">
        <v>3391.46</v>
      </c>
      <c r="J765" s="8" t="s">
        <v>30</v>
      </c>
      <c r="K765" s="12">
        <v>0.05</v>
      </c>
      <c r="L765" s="8" t="s">
        <v>31</v>
      </c>
      <c r="M765" s="8" t="s">
        <v>22</v>
      </c>
      <c r="N765" s="10" t="s">
        <v>36</v>
      </c>
      <c r="O765" s="17">
        <f xml:space="preserve"> (Tabla1[[#This Row],[Unit_Price]] - Tabla1[[#This Row],[Unit_Cost]] ) * Tabla1[[#This Row],[Quantity_Sold]]</f>
        <v>4535.0800000000072</v>
      </c>
      <c r="P765" s="12">
        <f>Tabla1[[#This Row],[Profit]] / Tabla1[[#This Row],[Sales_Calculated]]</f>
        <v>3.0391041026578573E-2</v>
      </c>
      <c r="Q765" s="20">
        <f xml:space="preserve"> Tabla1[[#This Row],[Unit_Price]] * Tabla1[[#This Row],[Quantity_Sold]]</f>
        <v>149224.24</v>
      </c>
    </row>
    <row r="766" spans="1:17" x14ac:dyDescent="0.3">
      <c r="A766" s="2">
        <v>1100</v>
      </c>
      <c r="B766" s="1">
        <v>45261</v>
      </c>
      <c r="C766" s="8" t="s">
        <v>42</v>
      </c>
      <c r="D766" s="8" t="s">
        <v>34</v>
      </c>
      <c r="E766" s="6">
        <v>1387.8</v>
      </c>
      <c r="F766" s="2">
        <v>34</v>
      </c>
      <c r="G766" s="8" t="s">
        <v>16</v>
      </c>
      <c r="H766" s="6">
        <v>4991.09</v>
      </c>
      <c r="I766" s="6">
        <v>5402.28</v>
      </c>
      <c r="J766" s="8" t="s">
        <v>17</v>
      </c>
      <c r="K766" s="12">
        <v>0</v>
      </c>
      <c r="L766" s="8" t="s">
        <v>18</v>
      </c>
      <c r="M766" s="8" t="s">
        <v>22</v>
      </c>
      <c r="N766" s="10" t="s">
        <v>52</v>
      </c>
      <c r="O766" s="17">
        <f xml:space="preserve"> (Tabla1[[#This Row],[Unit_Price]] - Tabla1[[#This Row],[Unit_Cost]] ) * Tabla1[[#This Row],[Quantity_Sold]]</f>
        <v>13980.459999999986</v>
      </c>
      <c r="P766" s="12">
        <f>Tabla1[[#This Row],[Profit]] / Tabla1[[#This Row],[Sales_Calculated]]</f>
        <v>7.6114159206853327E-2</v>
      </c>
      <c r="Q766" s="20">
        <f xml:space="preserve"> Tabla1[[#This Row],[Unit_Price]] * Tabla1[[#This Row],[Quantity_Sold]]</f>
        <v>183677.52</v>
      </c>
    </row>
    <row r="767" spans="1:17" x14ac:dyDescent="0.3">
      <c r="A767" s="2">
        <v>1064</v>
      </c>
      <c r="B767" s="1">
        <v>45148</v>
      </c>
      <c r="C767" s="8" t="s">
        <v>14</v>
      </c>
      <c r="D767" s="8" t="s">
        <v>25</v>
      </c>
      <c r="E767" s="6">
        <v>322.02</v>
      </c>
      <c r="F767" s="2">
        <v>5</v>
      </c>
      <c r="G767" s="8" t="s">
        <v>26</v>
      </c>
      <c r="H767" s="6">
        <v>421.05</v>
      </c>
      <c r="I767" s="6">
        <v>488.23</v>
      </c>
      <c r="J767" s="8" t="s">
        <v>17</v>
      </c>
      <c r="K767" s="12">
        <v>7.0000000000000007E-2</v>
      </c>
      <c r="L767" s="8" t="s">
        <v>31</v>
      </c>
      <c r="M767" s="8" t="s">
        <v>22</v>
      </c>
      <c r="N767" s="10" t="s">
        <v>32</v>
      </c>
      <c r="O767" s="17">
        <f xml:space="preserve"> (Tabla1[[#This Row],[Unit_Price]] - Tabla1[[#This Row],[Unit_Cost]] ) * Tabla1[[#This Row],[Quantity_Sold]]</f>
        <v>335.90000000000003</v>
      </c>
      <c r="P767" s="12">
        <f>Tabla1[[#This Row],[Profit]] / Tabla1[[#This Row],[Sales_Calculated]]</f>
        <v>0.13759908239968868</v>
      </c>
      <c r="Q767" s="20">
        <f xml:space="preserve"> Tabla1[[#This Row],[Unit_Price]] * Tabla1[[#This Row],[Quantity_Sold]]</f>
        <v>2441.15</v>
      </c>
    </row>
    <row r="768" spans="1:17" x14ac:dyDescent="0.3">
      <c r="A768" s="2">
        <v>1027</v>
      </c>
      <c r="B768" s="1">
        <v>44963</v>
      </c>
      <c r="C768" s="8" t="s">
        <v>38</v>
      </c>
      <c r="D768" s="8" t="s">
        <v>21</v>
      </c>
      <c r="E768" s="6">
        <v>3668.23</v>
      </c>
      <c r="F768" s="2">
        <v>45</v>
      </c>
      <c r="G768" s="8" t="s">
        <v>26</v>
      </c>
      <c r="H768" s="6">
        <v>1153.9000000000001</v>
      </c>
      <c r="I768" s="6">
        <v>1485.34</v>
      </c>
      <c r="J768" s="8" t="s">
        <v>30</v>
      </c>
      <c r="K768" s="12">
        <v>0.25</v>
      </c>
      <c r="L768" s="8" t="s">
        <v>31</v>
      </c>
      <c r="M768" s="8" t="s">
        <v>22</v>
      </c>
      <c r="N768" s="10" t="s">
        <v>41</v>
      </c>
      <c r="O768" s="17">
        <f xml:space="preserve"> (Tabla1[[#This Row],[Unit_Price]] - Tabla1[[#This Row],[Unit_Cost]] ) * Tabla1[[#This Row],[Quantity_Sold]]</f>
        <v>14914.799999999992</v>
      </c>
      <c r="P768" s="12">
        <f>Tabla1[[#This Row],[Profit]] / Tabla1[[#This Row],[Sales_Calculated]]</f>
        <v>0.22314082970902271</v>
      </c>
      <c r="Q768" s="20">
        <f xml:space="preserve"> Tabla1[[#This Row],[Unit_Price]] * Tabla1[[#This Row],[Quantity_Sold]]</f>
        <v>66840.3</v>
      </c>
    </row>
    <row r="769" spans="1:17" x14ac:dyDescent="0.3">
      <c r="A769" s="2">
        <v>1063</v>
      </c>
      <c r="B769" s="1">
        <v>45204</v>
      </c>
      <c r="C769" s="8" t="s">
        <v>42</v>
      </c>
      <c r="D769" s="8" t="s">
        <v>25</v>
      </c>
      <c r="E769" s="6">
        <v>7859.01</v>
      </c>
      <c r="F769" s="2">
        <v>27</v>
      </c>
      <c r="G769" s="8" t="s">
        <v>26</v>
      </c>
      <c r="H769" s="6">
        <v>2069.08</v>
      </c>
      <c r="I769" s="6">
        <v>2246.2399999999998</v>
      </c>
      <c r="J769" s="8" t="s">
        <v>30</v>
      </c>
      <c r="K769" s="12">
        <v>0.06</v>
      </c>
      <c r="L769" s="8" t="s">
        <v>27</v>
      </c>
      <c r="M769" s="8" t="s">
        <v>22</v>
      </c>
      <c r="N769" s="10" t="s">
        <v>43</v>
      </c>
      <c r="O769" s="17">
        <f xml:space="preserve"> (Tabla1[[#This Row],[Unit_Price]] - Tabla1[[#This Row],[Unit_Cost]] ) * Tabla1[[#This Row],[Quantity_Sold]]</f>
        <v>4783.3199999999961</v>
      </c>
      <c r="P769" s="12">
        <f>Tabla1[[#This Row],[Profit]] / Tabla1[[#This Row],[Sales_Calculated]]</f>
        <v>7.8869577605242477E-2</v>
      </c>
      <c r="Q769" s="20">
        <f xml:space="preserve"> Tabla1[[#This Row],[Unit_Price]] * Tabla1[[#This Row],[Quantity_Sold]]</f>
        <v>60648.479999999996</v>
      </c>
    </row>
    <row r="770" spans="1:17" x14ac:dyDescent="0.3">
      <c r="A770" s="2">
        <v>1017</v>
      </c>
      <c r="B770" s="1">
        <v>45122</v>
      </c>
      <c r="C770" s="8" t="s">
        <v>24</v>
      </c>
      <c r="D770" s="8" t="s">
        <v>15</v>
      </c>
      <c r="E770" s="6">
        <v>5705.19</v>
      </c>
      <c r="F770" s="2">
        <v>23</v>
      </c>
      <c r="G770" s="8" t="s">
        <v>35</v>
      </c>
      <c r="H770" s="6">
        <v>1771.52</v>
      </c>
      <c r="I770" s="6">
        <v>2147.8000000000002</v>
      </c>
      <c r="J770" s="8" t="s">
        <v>30</v>
      </c>
      <c r="K770" s="12">
        <v>7.0000000000000007E-2</v>
      </c>
      <c r="L770" s="8" t="s">
        <v>27</v>
      </c>
      <c r="M770" s="8" t="s">
        <v>19</v>
      </c>
      <c r="N770" s="10" t="s">
        <v>45</v>
      </c>
      <c r="O770" s="17">
        <f xml:space="preserve"> (Tabla1[[#This Row],[Unit_Price]] - Tabla1[[#This Row],[Unit_Cost]] ) * Tabla1[[#This Row],[Quantity_Sold]]</f>
        <v>8654.4400000000041</v>
      </c>
      <c r="P770" s="12">
        <f>Tabla1[[#This Row],[Profit]] / Tabla1[[#This Row],[Sales_Calculated]]</f>
        <v>0.17519322097029527</v>
      </c>
      <c r="Q770" s="20">
        <f xml:space="preserve"> Tabla1[[#This Row],[Unit_Price]] * Tabla1[[#This Row],[Quantity_Sold]]</f>
        <v>49399.4</v>
      </c>
    </row>
    <row r="771" spans="1:17" x14ac:dyDescent="0.3">
      <c r="A771" s="2">
        <v>1073</v>
      </c>
      <c r="B771" s="1">
        <v>45278</v>
      </c>
      <c r="C771" s="8" t="s">
        <v>38</v>
      </c>
      <c r="D771" s="8" t="s">
        <v>21</v>
      </c>
      <c r="E771" s="6">
        <v>3196.5</v>
      </c>
      <c r="F771" s="2">
        <v>40</v>
      </c>
      <c r="G771" s="8" t="s">
        <v>26</v>
      </c>
      <c r="H771" s="6">
        <v>157.15</v>
      </c>
      <c r="I771" s="6">
        <v>436.53</v>
      </c>
      <c r="J771" s="8" t="s">
        <v>30</v>
      </c>
      <c r="K771" s="12">
        <v>0.04</v>
      </c>
      <c r="L771" s="8" t="s">
        <v>18</v>
      </c>
      <c r="M771" s="8" t="s">
        <v>22</v>
      </c>
      <c r="N771" s="10" t="s">
        <v>41</v>
      </c>
      <c r="O771" s="17">
        <f xml:space="preserve"> (Tabla1[[#This Row],[Unit_Price]] - Tabla1[[#This Row],[Unit_Cost]] ) * Tabla1[[#This Row],[Quantity_Sold]]</f>
        <v>11175.2</v>
      </c>
      <c r="P771" s="12">
        <f>Tabla1[[#This Row],[Profit]] / Tabla1[[#This Row],[Sales_Calculated]]</f>
        <v>0.6400018326346415</v>
      </c>
      <c r="Q771" s="20">
        <f xml:space="preserve"> Tabla1[[#This Row],[Unit_Price]] * Tabla1[[#This Row],[Quantity_Sold]]</f>
        <v>17461.199999999997</v>
      </c>
    </row>
    <row r="772" spans="1:17" x14ac:dyDescent="0.3">
      <c r="A772" s="2">
        <v>1033</v>
      </c>
      <c r="B772" s="1">
        <v>45168</v>
      </c>
      <c r="C772" s="8" t="s">
        <v>14</v>
      </c>
      <c r="D772" s="8" t="s">
        <v>34</v>
      </c>
      <c r="E772" s="6">
        <v>6577.99</v>
      </c>
      <c r="F772" s="2">
        <v>14</v>
      </c>
      <c r="G772" s="8" t="s">
        <v>26</v>
      </c>
      <c r="H772" s="6">
        <v>504.3</v>
      </c>
      <c r="I772" s="6">
        <v>735.95</v>
      </c>
      <c r="J772" s="8" t="s">
        <v>17</v>
      </c>
      <c r="K772" s="12">
        <v>0.21</v>
      </c>
      <c r="L772" s="8" t="s">
        <v>18</v>
      </c>
      <c r="M772" s="8" t="s">
        <v>22</v>
      </c>
      <c r="N772" s="10" t="s">
        <v>46</v>
      </c>
      <c r="O772" s="17">
        <f xml:space="preserve"> (Tabla1[[#This Row],[Unit_Price]] - Tabla1[[#This Row],[Unit_Cost]] ) * Tabla1[[#This Row],[Quantity_Sold]]</f>
        <v>3243.1000000000004</v>
      </c>
      <c r="P772" s="12">
        <f>Tabla1[[#This Row],[Profit]] / Tabla1[[#This Row],[Sales_Calculated]]</f>
        <v>0.31476323119777161</v>
      </c>
      <c r="Q772" s="20">
        <f xml:space="preserve"> Tabla1[[#This Row],[Unit_Price]] * Tabla1[[#This Row],[Quantity_Sold]]</f>
        <v>10303.300000000001</v>
      </c>
    </row>
    <row r="773" spans="1:17" x14ac:dyDescent="0.3">
      <c r="A773" s="2">
        <v>1084</v>
      </c>
      <c r="B773" s="1">
        <v>45250</v>
      </c>
      <c r="C773" s="8" t="s">
        <v>14</v>
      </c>
      <c r="D773" s="8" t="s">
        <v>25</v>
      </c>
      <c r="E773" s="6">
        <v>2396.98</v>
      </c>
      <c r="F773" s="2">
        <v>15</v>
      </c>
      <c r="G773" s="8" t="s">
        <v>16</v>
      </c>
      <c r="H773" s="6">
        <v>3420.72</v>
      </c>
      <c r="I773" s="6">
        <v>3513.74</v>
      </c>
      <c r="J773" s="8" t="s">
        <v>30</v>
      </c>
      <c r="K773" s="12">
        <v>0.02</v>
      </c>
      <c r="L773" s="8" t="s">
        <v>18</v>
      </c>
      <c r="M773" s="8" t="s">
        <v>19</v>
      </c>
      <c r="N773" s="10" t="s">
        <v>32</v>
      </c>
      <c r="O773" s="17">
        <f xml:space="preserve"> (Tabla1[[#This Row],[Unit_Price]] - Tabla1[[#This Row],[Unit_Cost]] ) * Tabla1[[#This Row],[Quantity_Sold]]</f>
        <v>1395.2999999999997</v>
      </c>
      <c r="P773" s="12">
        <f>Tabla1[[#This Row],[Profit]] / Tabla1[[#This Row],[Sales_Calculated]]</f>
        <v>2.6473216572654775E-2</v>
      </c>
      <c r="Q773" s="20">
        <f xml:space="preserve"> Tabla1[[#This Row],[Unit_Price]] * Tabla1[[#This Row],[Quantity_Sold]]</f>
        <v>52706.1</v>
      </c>
    </row>
    <row r="774" spans="1:17" x14ac:dyDescent="0.3">
      <c r="A774" s="2">
        <v>1077</v>
      </c>
      <c r="B774" s="1">
        <v>45145</v>
      </c>
      <c r="C774" s="8" t="s">
        <v>33</v>
      </c>
      <c r="D774" s="8" t="s">
        <v>34</v>
      </c>
      <c r="E774" s="6">
        <v>242.38</v>
      </c>
      <c r="F774" s="2">
        <v>43</v>
      </c>
      <c r="G774" s="8" t="s">
        <v>26</v>
      </c>
      <c r="H774" s="6">
        <v>4402.66</v>
      </c>
      <c r="I774" s="6">
        <v>4724.7</v>
      </c>
      <c r="J774" s="8" t="s">
        <v>30</v>
      </c>
      <c r="K774" s="12">
        <v>0.1</v>
      </c>
      <c r="L774" s="8" t="s">
        <v>27</v>
      </c>
      <c r="M774" s="8" t="s">
        <v>22</v>
      </c>
      <c r="N774" s="10" t="s">
        <v>36</v>
      </c>
      <c r="O774" s="17">
        <f xml:space="preserve"> (Tabla1[[#This Row],[Unit_Price]] - Tabla1[[#This Row],[Unit_Cost]] ) * Tabla1[[#This Row],[Quantity_Sold]]</f>
        <v>13847.719999999998</v>
      </c>
      <c r="P774" s="12">
        <f>Tabla1[[#This Row],[Profit]] / Tabla1[[#This Row],[Sales_Calculated]]</f>
        <v>6.8160941435435038E-2</v>
      </c>
      <c r="Q774" s="20">
        <f xml:space="preserve"> Tabla1[[#This Row],[Unit_Price]] * Tabla1[[#This Row],[Quantity_Sold]]</f>
        <v>203162.1</v>
      </c>
    </row>
    <row r="775" spans="1:17" x14ac:dyDescent="0.3">
      <c r="A775" s="2">
        <v>1092</v>
      </c>
      <c r="B775" s="1">
        <v>45118</v>
      </c>
      <c r="C775" s="8" t="s">
        <v>38</v>
      </c>
      <c r="D775" s="8" t="s">
        <v>34</v>
      </c>
      <c r="E775" s="6">
        <v>7667.1</v>
      </c>
      <c r="F775" s="2">
        <v>33</v>
      </c>
      <c r="G775" s="8" t="s">
        <v>35</v>
      </c>
      <c r="H775" s="6">
        <v>2595.42</v>
      </c>
      <c r="I775" s="6">
        <v>3083.06</v>
      </c>
      <c r="J775" s="8" t="s">
        <v>30</v>
      </c>
      <c r="K775" s="12">
        <v>0.08</v>
      </c>
      <c r="L775" s="8" t="s">
        <v>31</v>
      </c>
      <c r="M775" s="8" t="s">
        <v>19</v>
      </c>
      <c r="N775" s="10" t="s">
        <v>48</v>
      </c>
      <c r="O775" s="17">
        <f xml:space="preserve"> (Tabla1[[#This Row],[Unit_Price]] - Tabla1[[#This Row],[Unit_Cost]] ) * Tabla1[[#This Row],[Quantity_Sold]]</f>
        <v>16092.119999999995</v>
      </c>
      <c r="P775" s="12">
        <f>Tabla1[[#This Row],[Profit]] / Tabla1[[#This Row],[Sales_Calculated]]</f>
        <v>0.15816753485173818</v>
      </c>
      <c r="Q775" s="20">
        <f xml:space="preserve"> Tabla1[[#This Row],[Unit_Price]] * Tabla1[[#This Row],[Quantity_Sold]]</f>
        <v>101740.98</v>
      </c>
    </row>
    <row r="776" spans="1:17" x14ac:dyDescent="0.3">
      <c r="A776" s="2">
        <v>1029</v>
      </c>
      <c r="B776" s="1">
        <v>44943</v>
      </c>
      <c r="C776" s="8" t="s">
        <v>33</v>
      </c>
      <c r="D776" s="8" t="s">
        <v>15</v>
      </c>
      <c r="E776" s="6">
        <v>6275.06</v>
      </c>
      <c r="F776" s="2">
        <v>31</v>
      </c>
      <c r="G776" s="8" t="s">
        <v>35</v>
      </c>
      <c r="H776" s="6">
        <v>2719</v>
      </c>
      <c r="I776" s="6">
        <v>3133.55</v>
      </c>
      <c r="J776" s="8" t="s">
        <v>17</v>
      </c>
      <c r="K776" s="12">
        <v>0.17</v>
      </c>
      <c r="L776" s="8" t="s">
        <v>27</v>
      </c>
      <c r="M776" s="8" t="s">
        <v>22</v>
      </c>
      <c r="N776" s="10" t="s">
        <v>53</v>
      </c>
      <c r="O776" s="17">
        <f xml:space="preserve"> (Tabla1[[#This Row],[Unit_Price]] - Tabla1[[#This Row],[Unit_Cost]] ) * Tabla1[[#This Row],[Quantity_Sold]]</f>
        <v>12851.050000000007</v>
      </c>
      <c r="P776" s="12">
        <f>Tabla1[[#This Row],[Profit]] / Tabla1[[#This Row],[Sales_Calculated]]</f>
        <v>0.13229404349699228</v>
      </c>
      <c r="Q776" s="20">
        <f xml:space="preserve"> Tabla1[[#This Row],[Unit_Price]] * Tabla1[[#This Row],[Quantity_Sold]]</f>
        <v>97140.05</v>
      </c>
    </row>
    <row r="777" spans="1:17" x14ac:dyDescent="0.3">
      <c r="A777" s="2">
        <v>1013</v>
      </c>
      <c r="B777" s="1">
        <v>44938</v>
      </c>
      <c r="C777" s="8" t="s">
        <v>42</v>
      </c>
      <c r="D777" s="8" t="s">
        <v>21</v>
      </c>
      <c r="E777" s="6">
        <v>7646.8</v>
      </c>
      <c r="F777" s="2">
        <v>35</v>
      </c>
      <c r="G777" s="8" t="s">
        <v>35</v>
      </c>
      <c r="H777" s="6">
        <v>1312.71</v>
      </c>
      <c r="I777" s="6">
        <v>1352.11</v>
      </c>
      <c r="J777" s="8" t="s">
        <v>17</v>
      </c>
      <c r="K777" s="12">
        <v>0.22</v>
      </c>
      <c r="L777" s="8" t="s">
        <v>27</v>
      </c>
      <c r="M777" s="8" t="s">
        <v>22</v>
      </c>
      <c r="N777" s="10" t="s">
        <v>51</v>
      </c>
      <c r="O777" s="17">
        <f xml:space="preserve"> (Tabla1[[#This Row],[Unit_Price]] - Tabla1[[#This Row],[Unit_Cost]] ) * Tabla1[[#This Row],[Quantity_Sold]]</f>
        <v>1378.9999999999952</v>
      </c>
      <c r="P777" s="12">
        <f>Tabla1[[#This Row],[Profit]] / Tabla1[[#This Row],[Sales_Calculated]]</f>
        <v>2.9139641005539389E-2</v>
      </c>
      <c r="Q777" s="20">
        <f xml:space="preserve"> Tabla1[[#This Row],[Unit_Price]] * Tabla1[[#This Row],[Quantity_Sold]]</f>
        <v>47323.85</v>
      </c>
    </row>
    <row r="778" spans="1:17" x14ac:dyDescent="0.3">
      <c r="A778" s="2">
        <v>1046</v>
      </c>
      <c r="B778" s="1">
        <v>45119</v>
      </c>
      <c r="C778" s="8" t="s">
        <v>38</v>
      </c>
      <c r="D778" s="8" t="s">
        <v>15</v>
      </c>
      <c r="E778" s="6">
        <v>485.49</v>
      </c>
      <c r="F778" s="2">
        <v>17</v>
      </c>
      <c r="G778" s="8" t="s">
        <v>16</v>
      </c>
      <c r="H778" s="6">
        <v>3850.99</v>
      </c>
      <c r="I778" s="6">
        <v>4045.3399999999901</v>
      </c>
      <c r="J778" s="8" t="s">
        <v>17</v>
      </c>
      <c r="K778" s="12">
        <v>0.16</v>
      </c>
      <c r="L778" s="8" t="s">
        <v>31</v>
      </c>
      <c r="M778" s="8" t="s">
        <v>19</v>
      </c>
      <c r="N778" s="10" t="s">
        <v>40</v>
      </c>
      <c r="O778" s="17">
        <f xml:space="preserve"> (Tabla1[[#This Row],[Unit_Price]] - Tabla1[[#This Row],[Unit_Cost]] ) * Tabla1[[#This Row],[Quantity_Sold]]</f>
        <v>3303.9499999998361</v>
      </c>
      <c r="P778" s="12">
        <f>Tabla1[[#This Row],[Profit]] / Tabla1[[#This Row],[Sales_Calculated]]</f>
        <v>4.8042933350470128E-2</v>
      </c>
      <c r="Q778" s="20">
        <f xml:space="preserve"> Tabla1[[#This Row],[Unit_Price]] * Tabla1[[#This Row],[Quantity_Sold]]</f>
        <v>68770.779999999839</v>
      </c>
    </row>
    <row r="779" spans="1:17" x14ac:dyDescent="0.3">
      <c r="A779" s="2">
        <v>1035</v>
      </c>
      <c r="B779" s="1">
        <v>44948</v>
      </c>
      <c r="C779" s="8" t="s">
        <v>42</v>
      </c>
      <c r="D779" s="8" t="s">
        <v>15</v>
      </c>
      <c r="E779" s="6">
        <v>8387.48</v>
      </c>
      <c r="F779" s="2">
        <v>28</v>
      </c>
      <c r="G779" s="8" t="s">
        <v>16</v>
      </c>
      <c r="H779" s="6">
        <v>3771.38</v>
      </c>
      <c r="I779" s="6">
        <v>4234.92</v>
      </c>
      <c r="J779" s="8" t="s">
        <v>30</v>
      </c>
      <c r="K779" s="12">
        <v>0.28000000000000003</v>
      </c>
      <c r="L779" s="8" t="s">
        <v>31</v>
      </c>
      <c r="M779" s="8" t="s">
        <v>22</v>
      </c>
      <c r="N779" s="10" t="s">
        <v>49</v>
      </c>
      <c r="O779" s="17">
        <f xml:space="preserve"> (Tabla1[[#This Row],[Unit_Price]] - Tabla1[[#This Row],[Unit_Cost]] ) * Tabla1[[#This Row],[Quantity_Sold]]</f>
        <v>12979.119999999999</v>
      </c>
      <c r="P779" s="12">
        <f>Tabla1[[#This Row],[Profit]] / Tabla1[[#This Row],[Sales_Calculated]]</f>
        <v>0.10945661311193598</v>
      </c>
      <c r="Q779" s="20">
        <f xml:space="preserve"> Tabla1[[#This Row],[Unit_Price]] * Tabla1[[#This Row],[Quantity_Sold]]</f>
        <v>118577.76000000001</v>
      </c>
    </row>
    <row r="780" spans="1:17" x14ac:dyDescent="0.3">
      <c r="A780" s="2">
        <v>1006</v>
      </c>
      <c r="B780" s="1">
        <v>45046</v>
      </c>
      <c r="C780" s="8" t="s">
        <v>33</v>
      </c>
      <c r="D780" s="8" t="s">
        <v>15</v>
      </c>
      <c r="E780" s="6">
        <v>6233.31</v>
      </c>
      <c r="F780" s="2">
        <v>19</v>
      </c>
      <c r="G780" s="8" t="s">
        <v>29</v>
      </c>
      <c r="H780" s="6">
        <v>2962.41</v>
      </c>
      <c r="I780" s="6">
        <v>3218.8999999999901</v>
      </c>
      <c r="J780" s="8" t="s">
        <v>30</v>
      </c>
      <c r="K780" s="12">
        <v>0.28999999999999998</v>
      </c>
      <c r="L780" s="8" t="s">
        <v>18</v>
      </c>
      <c r="M780" s="8" t="s">
        <v>22</v>
      </c>
      <c r="N780" s="10" t="s">
        <v>53</v>
      </c>
      <c r="O780" s="17">
        <f xml:space="preserve"> (Tabla1[[#This Row],[Unit_Price]] - Tabla1[[#This Row],[Unit_Cost]] ) * Tabla1[[#This Row],[Quantity_Sold]]</f>
        <v>4873.309999999814</v>
      </c>
      <c r="P780" s="12">
        <f>Tabla1[[#This Row],[Profit]] / Tabla1[[#This Row],[Sales_Calculated]]</f>
        <v>7.9682500232996056E-2</v>
      </c>
      <c r="Q780" s="20">
        <f xml:space="preserve"> Tabla1[[#This Row],[Unit_Price]] * Tabla1[[#This Row],[Quantity_Sold]]</f>
        <v>61159.099999999809</v>
      </c>
    </row>
    <row r="781" spans="1:17" x14ac:dyDescent="0.3">
      <c r="A781" s="2">
        <v>1082</v>
      </c>
      <c r="B781" s="1">
        <v>45136</v>
      </c>
      <c r="C781" s="8" t="s">
        <v>38</v>
      </c>
      <c r="D781" s="8" t="s">
        <v>34</v>
      </c>
      <c r="E781" s="6">
        <v>5677.61</v>
      </c>
      <c r="F781" s="2">
        <v>46</v>
      </c>
      <c r="G781" s="8" t="s">
        <v>26</v>
      </c>
      <c r="H781" s="6">
        <v>1102.69</v>
      </c>
      <c r="I781" s="6">
        <v>1437.12</v>
      </c>
      <c r="J781" s="8" t="s">
        <v>30</v>
      </c>
      <c r="K781" s="12">
        <v>0.11</v>
      </c>
      <c r="L781" s="8" t="s">
        <v>31</v>
      </c>
      <c r="M781" s="8" t="s">
        <v>19</v>
      </c>
      <c r="N781" s="10" t="s">
        <v>48</v>
      </c>
      <c r="O781" s="17">
        <f xml:space="preserve"> (Tabla1[[#This Row],[Unit_Price]] - Tabla1[[#This Row],[Unit_Cost]] ) * Tabla1[[#This Row],[Quantity_Sold]]</f>
        <v>15383.779999999992</v>
      </c>
      <c r="P781" s="12">
        <f>Tabla1[[#This Row],[Profit]] / Tabla1[[#This Row],[Sales_Calculated]]</f>
        <v>0.23270847250055657</v>
      </c>
      <c r="Q781" s="20">
        <f xml:space="preserve"> Tabla1[[#This Row],[Unit_Price]] * Tabla1[[#This Row],[Quantity_Sold]]</f>
        <v>66107.51999999999</v>
      </c>
    </row>
    <row r="782" spans="1:17" x14ac:dyDescent="0.3">
      <c r="A782" s="2">
        <v>1069</v>
      </c>
      <c r="B782" s="1">
        <v>45232</v>
      </c>
      <c r="C782" s="8" t="s">
        <v>33</v>
      </c>
      <c r="D782" s="8" t="s">
        <v>15</v>
      </c>
      <c r="E782" s="6">
        <v>6283.68</v>
      </c>
      <c r="F782" s="2">
        <v>23</v>
      </c>
      <c r="G782" s="8" t="s">
        <v>16</v>
      </c>
      <c r="H782" s="6">
        <v>530.24</v>
      </c>
      <c r="I782" s="6">
        <v>987.41</v>
      </c>
      <c r="J782" s="8" t="s">
        <v>17</v>
      </c>
      <c r="K782" s="12">
        <v>0.23</v>
      </c>
      <c r="L782" s="8" t="s">
        <v>31</v>
      </c>
      <c r="M782" s="8" t="s">
        <v>19</v>
      </c>
      <c r="N782" s="10" t="s">
        <v>53</v>
      </c>
      <c r="O782" s="17">
        <f xml:space="preserve"> (Tabla1[[#This Row],[Unit_Price]] - Tabla1[[#This Row],[Unit_Cost]] ) * Tabla1[[#This Row],[Quantity_Sold]]</f>
        <v>10514.91</v>
      </c>
      <c r="P782" s="12">
        <f>Tabla1[[#This Row],[Profit]] / Tabla1[[#This Row],[Sales_Calculated]]</f>
        <v>0.46299915941706077</v>
      </c>
      <c r="Q782" s="20">
        <f xml:space="preserve"> Tabla1[[#This Row],[Unit_Price]] * Tabla1[[#This Row],[Quantity_Sold]]</f>
        <v>22710.43</v>
      </c>
    </row>
    <row r="783" spans="1:17" x14ac:dyDescent="0.3">
      <c r="A783" s="2">
        <v>1047</v>
      </c>
      <c r="B783" s="1">
        <v>45196</v>
      </c>
      <c r="C783" s="8" t="s">
        <v>38</v>
      </c>
      <c r="D783" s="8" t="s">
        <v>15</v>
      </c>
      <c r="E783" s="6">
        <v>8657.89</v>
      </c>
      <c r="F783" s="2">
        <v>32</v>
      </c>
      <c r="G783" s="8" t="s">
        <v>35</v>
      </c>
      <c r="H783" s="6">
        <v>367.98</v>
      </c>
      <c r="I783" s="6">
        <v>806.14</v>
      </c>
      <c r="J783" s="8" t="s">
        <v>17</v>
      </c>
      <c r="K783" s="12">
        <v>0.22</v>
      </c>
      <c r="L783" s="8" t="s">
        <v>31</v>
      </c>
      <c r="M783" s="8" t="s">
        <v>22</v>
      </c>
      <c r="N783" s="10" t="s">
        <v>40</v>
      </c>
      <c r="O783" s="17">
        <f xml:space="preserve"> (Tabla1[[#This Row],[Unit_Price]] - Tabla1[[#This Row],[Unit_Cost]] ) * Tabla1[[#This Row],[Quantity_Sold]]</f>
        <v>14021.119999999999</v>
      </c>
      <c r="P783" s="12">
        <f>Tabla1[[#This Row],[Profit]] / Tabla1[[#This Row],[Sales_Calculated]]</f>
        <v>0.54352841938124885</v>
      </c>
      <c r="Q783" s="20">
        <f xml:space="preserve"> Tabla1[[#This Row],[Unit_Price]] * Tabla1[[#This Row],[Quantity_Sold]]</f>
        <v>25796.48</v>
      </c>
    </row>
    <row r="784" spans="1:17" x14ac:dyDescent="0.3">
      <c r="A784" s="2">
        <v>1025</v>
      </c>
      <c r="B784" s="1">
        <v>45118</v>
      </c>
      <c r="C784" s="8" t="s">
        <v>33</v>
      </c>
      <c r="D784" s="8" t="s">
        <v>21</v>
      </c>
      <c r="E784" s="6">
        <v>5910.67</v>
      </c>
      <c r="F784" s="2">
        <v>40</v>
      </c>
      <c r="G784" s="8" t="s">
        <v>35</v>
      </c>
      <c r="H784" s="6">
        <v>2983.85</v>
      </c>
      <c r="I784" s="6">
        <v>3239.74</v>
      </c>
      <c r="J784" s="8" t="s">
        <v>30</v>
      </c>
      <c r="K784" s="12">
        <v>0.27</v>
      </c>
      <c r="L784" s="8" t="s">
        <v>31</v>
      </c>
      <c r="M784" s="8" t="s">
        <v>19</v>
      </c>
      <c r="N784" s="10" t="s">
        <v>37</v>
      </c>
      <c r="O784" s="17">
        <f xml:space="preserve"> (Tabla1[[#This Row],[Unit_Price]] - Tabla1[[#This Row],[Unit_Cost]] ) * Tabla1[[#This Row],[Quantity_Sold]]</f>
        <v>10235.599999999995</v>
      </c>
      <c r="P784" s="12">
        <f>Tabla1[[#This Row],[Profit]] / Tabla1[[#This Row],[Sales_Calculated]]</f>
        <v>7.8984733342799082E-2</v>
      </c>
      <c r="Q784" s="20">
        <f xml:space="preserve"> Tabla1[[#This Row],[Unit_Price]] * Tabla1[[#This Row],[Quantity_Sold]]</f>
        <v>129589.59999999999</v>
      </c>
    </row>
    <row r="785" spans="1:17" x14ac:dyDescent="0.3">
      <c r="A785" s="2">
        <v>1066</v>
      </c>
      <c r="B785" s="1">
        <v>45101</v>
      </c>
      <c r="C785" s="8" t="s">
        <v>14</v>
      </c>
      <c r="D785" s="8" t="s">
        <v>21</v>
      </c>
      <c r="E785" s="6">
        <v>5851.41</v>
      </c>
      <c r="F785" s="2">
        <v>13</v>
      </c>
      <c r="G785" s="8" t="s">
        <v>16</v>
      </c>
      <c r="H785" s="6">
        <v>4133.92</v>
      </c>
      <c r="I785" s="6">
        <v>4358.37</v>
      </c>
      <c r="J785" s="8" t="s">
        <v>30</v>
      </c>
      <c r="K785" s="12">
        <v>0.13</v>
      </c>
      <c r="L785" s="8" t="s">
        <v>18</v>
      </c>
      <c r="M785" s="8" t="s">
        <v>22</v>
      </c>
      <c r="N785" s="10" t="s">
        <v>23</v>
      </c>
      <c r="O785" s="17">
        <f xml:space="preserve"> (Tabla1[[#This Row],[Unit_Price]] - Tabla1[[#This Row],[Unit_Cost]] ) * Tabla1[[#This Row],[Quantity_Sold]]</f>
        <v>2917.8499999999976</v>
      </c>
      <c r="P785" s="12">
        <f>Tabla1[[#This Row],[Profit]] / Tabla1[[#This Row],[Sales_Calculated]]</f>
        <v>5.1498610719144959E-2</v>
      </c>
      <c r="Q785" s="20">
        <f xml:space="preserve"> Tabla1[[#This Row],[Unit_Price]] * Tabla1[[#This Row],[Quantity_Sold]]</f>
        <v>56658.81</v>
      </c>
    </row>
    <row r="786" spans="1:17" x14ac:dyDescent="0.3">
      <c r="A786" s="2">
        <v>1010</v>
      </c>
      <c r="B786" s="1">
        <v>45211</v>
      </c>
      <c r="C786" s="8" t="s">
        <v>33</v>
      </c>
      <c r="D786" s="8" t="s">
        <v>15</v>
      </c>
      <c r="E786" s="6">
        <v>9907.7199999999993</v>
      </c>
      <c r="F786" s="2">
        <v>20</v>
      </c>
      <c r="G786" s="8" t="s">
        <v>16</v>
      </c>
      <c r="H786" s="6">
        <v>4298.74</v>
      </c>
      <c r="I786" s="6">
        <v>4475.1899999999996</v>
      </c>
      <c r="J786" s="8" t="s">
        <v>17</v>
      </c>
      <c r="K786" s="12">
        <v>0.16</v>
      </c>
      <c r="L786" s="8" t="s">
        <v>18</v>
      </c>
      <c r="M786" s="8" t="s">
        <v>19</v>
      </c>
      <c r="N786" s="10" t="s">
        <v>53</v>
      </c>
      <c r="O786" s="17">
        <f xml:space="preserve"> (Tabla1[[#This Row],[Unit_Price]] - Tabla1[[#This Row],[Unit_Cost]] ) * Tabla1[[#This Row],[Quantity_Sold]]</f>
        <v>3528.9999999999964</v>
      </c>
      <c r="P786" s="12">
        <f>Tabla1[[#This Row],[Profit]] / Tabla1[[#This Row],[Sales_Calculated]]</f>
        <v>3.9428493538821781E-2</v>
      </c>
      <c r="Q786" s="20">
        <f xml:space="preserve"> Tabla1[[#This Row],[Unit_Price]] * Tabla1[[#This Row],[Quantity_Sold]]</f>
        <v>89503.799999999988</v>
      </c>
    </row>
    <row r="787" spans="1:17" x14ac:dyDescent="0.3">
      <c r="A787" s="2">
        <v>1056</v>
      </c>
      <c r="B787" s="1">
        <v>45130</v>
      </c>
      <c r="C787" s="8" t="s">
        <v>14</v>
      </c>
      <c r="D787" s="8" t="s">
        <v>21</v>
      </c>
      <c r="E787" s="6">
        <v>7591.63</v>
      </c>
      <c r="F787" s="2">
        <v>35</v>
      </c>
      <c r="G787" s="8" t="s">
        <v>16</v>
      </c>
      <c r="H787" s="6">
        <v>2344.9299999999998</v>
      </c>
      <c r="I787" s="6">
        <v>2707.25</v>
      </c>
      <c r="J787" s="8" t="s">
        <v>30</v>
      </c>
      <c r="K787" s="12">
        <v>0.12</v>
      </c>
      <c r="L787" s="8" t="s">
        <v>31</v>
      </c>
      <c r="M787" s="8" t="s">
        <v>22</v>
      </c>
      <c r="N787" s="10" t="s">
        <v>23</v>
      </c>
      <c r="O787" s="17">
        <f xml:space="preserve"> (Tabla1[[#This Row],[Unit_Price]] - Tabla1[[#This Row],[Unit_Cost]] ) * Tabla1[[#This Row],[Quantity_Sold]]</f>
        <v>12681.200000000006</v>
      </c>
      <c r="P787" s="12">
        <f>Tabla1[[#This Row],[Profit]] / Tabla1[[#This Row],[Sales_Calculated]]</f>
        <v>0.13383322559793154</v>
      </c>
      <c r="Q787" s="20">
        <f xml:space="preserve"> Tabla1[[#This Row],[Unit_Price]] * Tabla1[[#This Row],[Quantity_Sold]]</f>
        <v>94753.75</v>
      </c>
    </row>
    <row r="788" spans="1:17" x14ac:dyDescent="0.3">
      <c r="A788" s="2">
        <v>1030</v>
      </c>
      <c r="B788" s="1">
        <v>45090</v>
      </c>
      <c r="C788" s="8" t="s">
        <v>33</v>
      </c>
      <c r="D788" s="8" t="s">
        <v>21</v>
      </c>
      <c r="E788" s="6">
        <v>4478.71</v>
      </c>
      <c r="F788" s="2">
        <v>5</v>
      </c>
      <c r="G788" s="8" t="s">
        <v>29</v>
      </c>
      <c r="H788" s="6">
        <v>3932.14</v>
      </c>
      <c r="I788" s="6">
        <v>4082.7599999999902</v>
      </c>
      <c r="J788" s="8" t="s">
        <v>30</v>
      </c>
      <c r="K788" s="12">
        <v>0.26</v>
      </c>
      <c r="L788" s="8" t="s">
        <v>31</v>
      </c>
      <c r="M788" s="8" t="s">
        <v>19</v>
      </c>
      <c r="N788" s="10" t="s">
        <v>37</v>
      </c>
      <c r="O788" s="17">
        <f xml:space="preserve"> (Tabla1[[#This Row],[Unit_Price]] - Tabla1[[#This Row],[Unit_Cost]] ) * Tabla1[[#This Row],[Quantity_Sold]]</f>
        <v>753.09999999995171</v>
      </c>
      <c r="P788" s="12">
        <f>Tabla1[[#This Row],[Profit]] / Tabla1[[#This Row],[Sales_Calculated]]</f>
        <v>3.6891710509554983E-2</v>
      </c>
      <c r="Q788" s="20">
        <f xml:space="preserve"> Tabla1[[#This Row],[Unit_Price]] * Tabla1[[#This Row],[Quantity_Sold]]</f>
        <v>20413.799999999952</v>
      </c>
    </row>
    <row r="789" spans="1:17" x14ac:dyDescent="0.3">
      <c r="A789" s="2">
        <v>1005</v>
      </c>
      <c r="B789" s="1">
        <v>45177</v>
      </c>
      <c r="C789" s="8" t="s">
        <v>38</v>
      </c>
      <c r="D789" s="8" t="s">
        <v>15</v>
      </c>
      <c r="E789" s="6">
        <v>7103.23</v>
      </c>
      <c r="F789" s="2">
        <v>9</v>
      </c>
      <c r="G789" s="8" t="s">
        <v>35</v>
      </c>
      <c r="H789" s="6">
        <v>4737.0600000000004</v>
      </c>
      <c r="I789" s="6">
        <v>4869.5</v>
      </c>
      <c r="J789" s="8" t="s">
        <v>30</v>
      </c>
      <c r="K789" s="12">
        <v>7.0000000000000007E-2</v>
      </c>
      <c r="L789" s="8" t="s">
        <v>18</v>
      </c>
      <c r="M789" s="8" t="s">
        <v>19</v>
      </c>
      <c r="N789" s="10" t="s">
        <v>40</v>
      </c>
      <c r="O789" s="17">
        <f xml:space="preserve"> (Tabla1[[#This Row],[Unit_Price]] - Tabla1[[#This Row],[Unit_Cost]] ) * Tabla1[[#This Row],[Quantity_Sold]]</f>
        <v>1191.9599999999964</v>
      </c>
      <c r="P789" s="12">
        <f>Tabla1[[#This Row],[Profit]] / Tabla1[[#This Row],[Sales_Calculated]]</f>
        <v>2.7197864257110505E-2</v>
      </c>
      <c r="Q789" s="20">
        <f xml:space="preserve"> Tabla1[[#This Row],[Unit_Price]] * Tabla1[[#This Row],[Quantity_Sold]]</f>
        <v>43825.5</v>
      </c>
    </row>
    <row r="790" spans="1:17" x14ac:dyDescent="0.3">
      <c r="A790" s="2">
        <v>1033</v>
      </c>
      <c r="B790" s="1">
        <v>45153</v>
      </c>
      <c r="C790" s="8" t="s">
        <v>38</v>
      </c>
      <c r="D790" s="8" t="s">
        <v>34</v>
      </c>
      <c r="E790" s="6">
        <v>3953.38</v>
      </c>
      <c r="F790" s="2">
        <v>29</v>
      </c>
      <c r="G790" s="8" t="s">
        <v>29</v>
      </c>
      <c r="H790" s="6">
        <v>1412.09</v>
      </c>
      <c r="I790" s="6">
        <v>1596.6499999999901</v>
      </c>
      <c r="J790" s="8" t="s">
        <v>17</v>
      </c>
      <c r="K790" s="12">
        <v>7.0000000000000007E-2</v>
      </c>
      <c r="L790" s="8" t="s">
        <v>18</v>
      </c>
      <c r="M790" s="8" t="s">
        <v>19</v>
      </c>
      <c r="N790" s="10" t="s">
        <v>48</v>
      </c>
      <c r="O790" s="17">
        <f xml:space="preserve"> (Tabla1[[#This Row],[Unit_Price]] - Tabla1[[#This Row],[Unit_Cost]] ) * Tabla1[[#This Row],[Quantity_Sold]]</f>
        <v>5352.2399999997151</v>
      </c>
      <c r="P790" s="12">
        <f>Tabla1[[#This Row],[Profit]] / Tabla1[[#This Row],[Sales_Calculated]]</f>
        <v>0.11559202079353102</v>
      </c>
      <c r="Q790" s="20">
        <f xml:space="preserve"> Tabla1[[#This Row],[Unit_Price]] * Tabla1[[#This Row],[Quantity_Sold]]</f>
        <v>46302.849999999715</v>
      </c>
    </row>
    <row r="791" spans="1:17" x14ac:dyDescent="0.3">
      <c r="A791" s="2">
        <v>1065</v>
      </c>
      <c r="B791" s="1">
        <v>44933</v>
      </c>
      <c r="C791" s="8" t="s">
        <v>38</v>
      </c>
      <c r="D791" s="8" t="s">
        <v>15</v>
      </c>
      <c r="E791" s="6">
        <v>2365.87</v>
      </c>
      <c r="F791" s="2">
        <v>6</v>
      </c>
      <c r="G791" s="8" t="s">
        <v>29</v>
      </c>
      <c r="H791" s="6">
        <v>2019.9</v>
      </c>
      <c r="I791" s="6">
        <v>2116.7399999999998</v>
      </c>
      <c r="J791" s="8" t="s">
        <v>30</v>
      </c>
      <c r="K791" s="12">
        <v>0.11</v>
      </c>
      <c r="L791" s="8" t="s">
        <v>31</v>
      </c>
      <c r="M791" s="8" t="s">
        <v>19</v>
      </c>
      <c r="N791" s="10" t="s">
        <v>40</v>
      </c>
      <c r="O791" s="17">
        <f xml:space="preserve"> (Tabla1[[#This Row],[Unit_Price]] - Tabla1[[#This Row],[Unit_Cost]] ) * Tabla1[[#This Row],[Quantity_Sold]]</f>
        <v>581.03999999999814</v>
      </c>
      <c r="P791" s="12">
        <f>Tabla1[[#This Row],[Profit]] / Tabla1[[#This Row],[Sales_Calculated]]</f>
        <v>4.5749596076986171E-2</v>
      </c>
      <c r="Q791" s="20">
        <f xml:space="preserve"> Tabla1[[#This Row],[Unit_Price]] * Tabla1[[#This Row],[Quantity_Sold]]</f>
        <v>12700.439999999999</v>
      </c>
    </row>
    <row r="792" spans="1:17" x14ac:dyDescent="0.3">
      <c r="A792" s="2">
        <v>1018</v>
      </c>
      <c r="B792" s="1">
        <v>44955</v>
      </c>
      <c r="C792" s="8" t="s">
        <v>24</v>
      </c>
      <c r="D792" s="8" t="s">
        <v>21</v>
      </c>
      <c r="E792" s="6">
        <v>6008.83</v>
      </c>
      <c r="F792" s="2">
        <v>25</v>
      </c>
      <c r="G792" s="8" t="s">
        <v>26</v>
      </c>
      <c r="H792" s="6">
        <v>4660.82</v>
      </c>
      <c r="I792" s="6">
        <v>5011.4299999999903</v>
      </c>
      <c r="J792" s="8" t="s">
        <v>30</v>
      </c>
      <c r="K792" s="12">
        <v>7.0000000000000007E-2</v>
      </c>
      <c r="L792" s="8" t="s">
        <v>27</v>
      </c>
      <c r="M792" s="8" t="s">
        <v>19</v>
      </c>
      <c r="N792" s="10" t="s">
        <v>47</v>
      </c>
      <c r="O792" s="17">
        <f xml:space="preserve"> (Tabla1[[#This Row],[Unit_Price]] - Tabla1[[#This Row],[Unit_Cost]] ) * Tabla1[[#This Row],[Quantity_Sold]]</f>
        <v>8765.2499999997635</v>
      </c>
      <c r="P792" s="12">
        <f>Tabla1[[#This Row],[Profit]] / Tabla1[[#This Row],[Sales_Calculated]]</f>
        <v>6.9962066715486645E-2</v>
      </c>
      <c r="Q792" s="20">
        <f xml:space="preserve"> Tabla1[[#This Row],[Unit_Price]] * Tabla1[[#This Row],[Quantity_Sold]]</f>
        <v>125285.74999999975</v>
      </c>
    </row>
    <row r="793" spans="1:17" x14ac:dyDescent="0.3">
      <c r="A793" s="2">
        <v>1096</v>
      </c>
      <c r="B793" s="1">
        <v>44959</v>
      </c>
      <c r="C793" s="8" t="s">
        <v>42</v>
      </c>
      <c r="D793" s="8" t="s">
        <v>34</v>
      </c>
      <c r="E793" s="6">
        <v>9289</v>
      </c>
      <c r="F793" s="2">
        <v>31</v>
      </c>
      <c r="G793" s="8" t="s">
        <v>35</v>
      </c>
      <c r="H793" s="6">
        <v>1724.24</v>
      </c>
      <c r="I793" s="6">
        <v>2036.2</v>
      </c>
      <c r="J793" s="8" t="s">
        <v>30</v>
      </c>
      <c r="K793" s="12">
        <v>0.17</v>
      </c>
      <c r="L793" s="8" t="s">
        <v>18</v>
      </c>
      <c r="M793" s="8" t="s">
        <v>19</v>
      </c>
      <c r="N793" s="10" t="s">
        <v>52</v>
      </c>
      <c r="O793" s="17">
        <f xml:space="preserve"> (Tabla1[[#This Row],[Unit_Price]] - Tabla1[[#This Row],[Unit_Cost]] ) * Tabla1[[#This Row],[Quantity_Sold]]</f>
        <v>9670.760000000002</v>
      </c>
      <c r="P793" s="12">
        <f>Tabla1[[#This Row],[Profit]] / Tabla1[[#This Row],[Sales_Calculated]]</f>
        <v>0.15320695413024263</v>
      </c>
      <c r="Q793" s="20">
        <f xml:space="preserve"> Tabla1[[#This Row],[Unit_Price]] * Tabla1[[#This Row],[Quantity_Sold]]</f>
        <v>63122.200000000004</v>
      </c>
    </row>
    <row r="794" spans="1:17" x14ac:dyDescent="0.3">
      <c r="A794" s="2">
        <v>1049</v>
      </c>
      <c r="B794" s="1">
        <v>45060</v>
      </c>
      <c r="C794" s="8" t="s">
        <v>38</v>
      </c>
      <c r="D794" s="8" t="s">
        <v>25</v>
      </c>
      <c r="E794" s="6">
        <v>9298.48</v>
      </c>
      <c r="F794" s="2">
        <v>22</v>
      </c>
      <c r="G794" s="8" t="s">
        <v>35</v>
      </c>
      <c r="H794" s="6">
        <v>4573.6899999999996</v>
      </c>
      <c r="I794" s="6">
        <v>4820.2999999999902</v>
      </c>
      <c r="J794" s="8" t="s">
        <v>30</v>
      </c>
      <c r="K794" s="12">
        <v>0.04</v>
      </c>
      <c r="L794" s="8" t="s">
        <v>18</v>
      </c>
      <c r="M794" s="8" t="s">
        <v>19</v>
      </c>
      <c r="N794" s="10" t="s">
        <v>39</v>
      </c>
      <c r="O794" s="17">
        <f xml:space="preserve"> (Tabla1[[#This Row],[Unit_Price]] - Tabla1[[#This Row],[Unit_Cost]] ) * Tabla1[[#This Row],[Quantity_Sold]]</f>
        <v>5425.4199999997927</v>
      </c>
      <c r="P794" s="12">
        <f>Tabla1[[#This Row],[Profit]] / Tabla1[[#This Row],[Sales_Calculated]]</f>
        <v>5.1160716137997858E-2</v>
      </c>
      <c r="Q794" s="20">
        <f xml:space="preserve"> Tabla1[[#This Row],[Unit_Price]] * Tabla1[[#This Row],[Quantity_Sold]]</f>
        <v>106046.59999999979</v>
      </c>
    </row>
    <row r="795" spans="1:17" x14ac:dyDescent="0.3">
      <c r="A795" s="2">
        <v>1011</v>
      </c>
      <c r="B795" s="1">
        <v>45005</v>
      </c>
      <c r="C795" s="8" t="s">
        <v>14</v>
      </c>
      <c r="D795" s="8" t="s">
        <v>34</v>
      </c>
      <c r="E795" s="6">
        <v>3484.86</v>
      </c>
      <c r="F795" s="2">
        <v>2</v>
      </c>
      <c r="G795" s="8" t="s">
        <v>16</v>
      </c>
      <c r="H795" s="6">
        <v>4906.17</v>
      </c>
      <c r="I795" s="6">
        <v>5107.43</v>
      </c>
      <c r="J795" s="8" t="s">
        <v>17</v>
      </c>
      <c r="K795" s="12">
        <v>0.1</v>
      </c>
      <c r="L795" s="8" t="s">
        <v>18</v>
      </c>
      <c r="M795" s="8" t="s">
        <v>19</v>
      </c>
      <c r="N795" s="10" t="s">
        <v>46</v>
      </c>
      <c r="O795" s="17">
        <f xml:space="preserve"> (Tabla1[[#This Row],[Unit_Price]] - Tabla1[[#This Row],[Unit_Cost]] ) * Tabla1[[#This Row],[Quantity_Sold]]</f>
        <v>402.52000000000044</v>
      </c>
      <c r="P795" s="12">
        <f>Tabla1[[#This Row],[Profit]] / Tabla1[[#This Row],[Sales_Calculated]]</f>
        <v>3.9405336930706872E-2</v>
      </c>
      <c r="Q795" s="20">
        <f xml:space="preserve"> Tabla1[[#This Row],[Unit_Price]] * Tabla1[[#This Row],[Quantity_Sold]]</f>
        <v>10214.86</v>
      </c>
    </row>
    <row r="796" spans="1:17" x14ac:dyDescent="0.3">
      <c r="A796" s="2">
        <v>1085</v>
      </c>
      <c r="B796" s="1">
        <v>44984</v>
      </c>
      <c r="C796" s="8" t="s">
        <v>38</v>
      </c>
      <c r="D796" s="8" t="s">
        <v>21</v>
      </c>
      <c r="E796" s="6">
        <v>5324.01</v>
      </c>
      <c r="F796" s="2">
        <v>45</v>
      </c>
      <c r="G796" s="8" t="s">
        <v>16</v>
      </c>
      <c r="H796" s="6">
        <v>3325.96</v>
      </c>
      <c r="I796" s="6">
        <v>3781.4</v>
      </c>
      <c r="J796" s="8" t="s">
        <v>17</v>
      </c>
      <c r="K796" s="12">
        <v>0.27</v>
      </c>
      <c r="L796" s="8" t="s">
        <v>31</v>
      </c>
      <c r="M796" s="8" t="s">
        <v>19</v>
      </c>
      <c r="N796" s="10" t="s">
        <v>41</v>
      </c>
      <c r="O796" s="17">
        <f xml:space="preserve"> (Tabla1[[#This Row],[Unit_Price]] - Tabla1[[#This Row],[Unit_Cost]] ) * Tabla1[[#This Row],[Quantity_Sold]]</f>
        <v>20494.800000000003</v>
      </c>
      <c r="P796" s="12">
        <f>Tabla1[[#This Row],[Profit]] / Tabla1[[#This Row],[Sales_Calculated]]</f>
        <v>0.12044216427778073</v>
      </c>
      <c r="Q796" s="20">
        <f xml:space="preserve"> Tabla1[[#This Row],[Unit_Price]] * Tabla1[[#This Row],[Quantity_Sold]]</f>
        <v>170163</v>
      </c>
    </row>
    <row r="797" spans="1:17" x14ac:dyDescent="0.3">
      <c r="A797" s="2">
        <v>1026</v>
      </c>
      <c r="B797" s="1">
        <v>44952</v>
      </c>
      <c r="C797" s="8" t="s">
        <v>24</v>
      </c>
      <c r="D797" s="8" t="s">
        <v>34</v>
      </c>
      <c r="E797" s="6">
        <v>2195.1999999999998</v>
      </c>
      <c r="F797" s="2">
        <v>5</v>
      </c>
      <c r="G797" s="8" t="s">
        <v>26</v>
      </c>
      <c r="H797" s="6">
        <v>4093.61</v>
      </c>
      <c r="I797" s="6">
        <v>4117.88</v>
      </c>
      <c r="J797" s="8" t="s">
        <v>17</v>
      </c>
      <c r="K797" s="12">
        <v>0.12</v>
      </c>
      <c r="L797" s="8" t="s">
        <v>31</v>
      </c>
      <c r="M797" s="8" t="s">
        <v>22</v>
      </c>
      <c r="N797" s="10" t="s">
        <v>50</v>
      </c>
      <c r="O797" s="17">
        <f xml:space="preserve"> (Tabla1[[#This Row],[Unit_Price]] - Tabla1[[#This Row],[Unit_Cost]] ) * Tabla1[[#This Row],[Quantity_Sold]]</f>
        <v>121.34999999999991</v>
      </c>
      <c r="P797" s="12">
        <f>Tabla1[[#This Row],[Profit]] / Tabla1[[#This Row],[Sales_Calculated]]</f>
        <v>5.8938094359233346E-3</v>
      </c>
      <c r="Q797" s="20">
        <f xml:space="preserve"> Tabla1[[#This Row],[Unit_Price]] * Tabla1[[#This Row],[Quantity_Sold]]</f>
        <v>20589.400000000001</v>
      </c>
    </row>
    <row r="798" spans="1:17" x14ac:dyDescent="0.3">
      <c r="A798" s="2">
        <v>1063</v>
      </c>
      <c r="B798" s="1">
        <v>45152</v>
      </c>
      <c r="C798" s="8" t="s">
        <v>14</v>
      </c>
      <c r="D798" s="8" t="s">
        <v>15</v>
      </c>
      <c r="E798" s="6">
        <v>9956.75</v>
      </c>
      <c r="F798" s="2">
        <v>27</v>
      </c>
      <c r="G798" s="8" t="s">
        <v>29</v>
      </c>
      <c r="H798" s="6">
        <v>3760.25</v>
      </c>
      <c r="I798" s="6">
        <v>4147.1099999999997</v>
      </c>
      <c r="J798" s="8" t="s">
        <v>30</v>
      </c>
      <c r="K798" s="12">
        <v>0.22</v>
      </c>
      <c r="L798" s="8" t="s">
        <v>18</v>
      </c>
      <c r="M798" s="8" t="s">
        <v>19</v>
      </c>
      <c r="N798" s="10" t="s">
        <v>20</v>
      </c>
      <c r="O798" s="17">
        <f xml:space="preserve"> (Tabla1[[#This Row],[Unit_Price]] - Tabla1[[#This Row],[Unit_Cost]] ) * Tabla1[[#This Row],[Quantity_Sold]]</f>
        <v>10445.21999999999</v>
      </c>
      <c r="P798" s="12">
        <f>Tabla1[[#This Row],[Profit]] / Tabla1[[#This Row],[Sales_Calculated]]</f>
        <v>9.3284238903718411E-2</v>
      </c>
      <c r="Q798" s="20">
        <f xml:space="preserve"> Tabla1[[#This Row],[Unit_Price]] * Tabla1[[#This Row],[Quantity_Sold]]</f>
        <v>111971.96999999999</v>
      </c>
    </row>
    <row r="799" spans="1:17" x14ac:dyDescent="0.3">
      <c r="A799" s="2">
        <v>1089</v>
      </c>
      <c r="B799" s="1">
        <v>45211</v>
      </c>
      <c r="C799" s="8" t="s">
        <v>24</v>
      </c>
      <c r="D799" s="8" t="s">
        <v>25</v>
      </c>
      <c r="E799" s="6">
        <v>9813.07</v>
      </c>
      <c r="F799" s="2">
        <v>25</v>
      </c>
      <c r="G799" s="8" t="s">
        <v>16</v>
      </c>
      <c r="H799" s="6">
        <v>3512.69</v>
      </c>
      <c r="I799" s="6">
        <v>3964.63</v>
      </c>
      <c r="J799" s="8" t="s">
        <v>17</v>
      </c>
      <c r="K799" s="12">
        <v>0.03</v>
      </c>
      <c r="L799" s="8" t="s">
        <v>31</v>
      </c>
      <c r="M799" s="8" t="s">
        <v>22</v>
      </c>
      <c r="N799" s="10" t="s">
        <v>28</v>
      </c>
      <c r="O799" s="17">
        <f xml:space="preserve"> (Tabla1[[#This Row],[Unit_Price]] - Tabla1[[#This Row],[Unit_Cost]] ) * Tabla1[[#This Row],[Quantity_Sold]]</f>
        <v>11298.500000000002</v>
      </c>
      <c r="P799" s="12">
        <f>Tabla1[[#This Row],[Profit]] / Tabla1[[#This Row],[Sales_Calculated]]</f>
        <v>0.11399298295175088</v>
      </c>
      <c r="Q799" s="20">
        <f xml:space="preserve"> Tabla1[[#This Row],[Unit_Price]] * Tabla1[[#This Row],[Quantity_Sold]]</f>
        <v>99115.75</v>
      </c>
    </row>
    <row r="800" spans="1:17" x14ac:dyDescent="0.3">
      <c r="A800" s="2">
        <v>1086</v>
      </c>
      <c r="B800" s="1">
        <v>44930</v>
      </c>
      <c r="C800" s="8" t="s">
        <v>14</v>
      </c>
      <c r="D800" s="8" t="s">
        <v>25</v>
      </c>
      <c r="E800" s="6">
        <v>6530.14</v>
      </c>
      <c r="F800" s="2">
        <v>8</v>
      </c>
      <c r="G800" s="8" t="s">
        <v>16</v>
      </c>
      <c r="H800" s="6">
        <v>1569.31</v>
      </c>
      <c r="I800" s="6">
        <v>1798.02</v>
      </c>
      <c r="J800" s="8" t="s">
        <v>30</v>
      </c>
      <c r="K800" s="12">
        <v>7.0000000000000007E-2</v>
      </c>
      <c r="L800" s="8" t="s">
        <v>31</v>
      </c>
      <c r="M800" s="8" t="s">
        <v>19</v>
      </c>
      <c r="N800" s="10" t="s">
        <v>32</v>
      </c>
      <c r="O800" s="17">
        <f xml:space="preserve"> (Tabla1[[#This Row],[Unit_Price]] - Tabla1[[#This Row],[Unit_Cost]] ) * Tabla1[[#This Row],[Quantity_Sold]]</f>
        <v>1829.6800000000003</v>
      </c>
      <c r="P800" s="12">
        <f>Tabla1[[#This Row],[Profit]] / Tabla1[[#This Row],[Sales_Calculated]]</f>
        <v>0.12720103224658239</v>
      </c>
      <c r="Q800" s="20">
        <f xml:space="preserve"> Tabla1[[#This Row],[Unit_Price]] * Tabla1[[#This Row],[Quantity_Sold]]</f>
        <v>14384.16</v>
      </c>
    </row>
    <row r="801" spans="1:17" x14ac:dyDescent="0.3">
      <c r="A801" s="2">
        <v>1059</v>
      </c>
      <c r="B801" s="1">
        <v>45025</v>
      </c>
      <c r="C801" s="8" t="s">
        <v>33</v>
      </c>
      <c r="D801" s="8" t="s">
        <v>25</v>
      </c>
      <c r="E801" s="6">
        <v>8063.7</v>
      </c>
      <c r="F801" s="2">
        <v>1</v>
      </c>
      <c r="G801" s="8" t="s">
        <v>35</v>
      </c>
      <c r="H801" s="6">
        <v>332.62</v>
      </c>
      <c r="I801" s="6">
        <v>612.46</v>
      </c>
      <c r="J801" s="8" t="s">
        <v>17</v>
      </c>
      <c r="K801" s="12">
        <v>0.24</v>
      </c>
      <c r="L801" s="8" t="s">
        <v>18</v>
      </c>
      <c r="M801" s="8" t="s">
        <v>22</v>
      </c>
      <c r="N801" s="10" t="s">
        <v>44</v>
      </c>
      <c r="O801" s="17">
        <f xml:space="preserve"> (Tabla1[[#This Row],[Unit_Price]] - Tabla1[[#This Row],[Unit_Cost]] ) * Tabla1[[#This Row],[Quantity_Sold]]</f>
        <v>279.84000000000003</v>
      </c>
      <c r="P801" s="12">
        <f>Tabla1[[#This Row],[Profit]] / Tabla1[[#This Row],[Sales_Calculated]]</f>
        <v>0.45691147176958496</v>
      </c>
      <c r="Q801" s="20">
        <f xml:space="preserve"> Tabla1[[#This Row],[Unit_Price]] * Tabla1[[#This Row],[Quantity_Sold]]</f>
        <v>612.46</v>
      </c>
    </row>
    <row r="802" spans="1:17" x14ac:dyDescent="0.3">
      <c r="A802" s="2">
        <v>1027</v>
      </c>
      <c r="B802" s="1">
        <v>44965</v>
      </c>
      <c r="C802" s="8" t="s">
        <v>42</v>
      </c>
      <c r="D802" s="8" t="s">
        <v>21</v>
      </c>
      <c r="E802" s="6">
        <v>7179.49</v>
      </c>
      <c r="F802" s="2">
        <v>20</v>
      </c>
      <c r="G802" s="8" t="s">
        <v>35</v>
      </c>
      <c r="H802" s="6">
        <v>1748.11</v>
      </c>
      <c r="I802" s="6">
        <v>2220.9</v>
      </c>
      <c r="J802" s="8" t="s">
        <v>30</v>
      </c>
      <c r="K802" s="12">
        <v>0.23</v>
      </c>
      <c r="L802" s="8" t="s">
        <v>31</v>
      </c>
      <c r="M802" s="8" t="s">
        <v>22</v>
      </c>
      <c r="N802" s="10" t="s">
        <v>51</v>
      </c>
      <c r="O802" s="17">
        <f xml:space="preserve"> (Tabla1[[#This Row],[Unit_Price]] - Tabla1[[#This Row],[Unit_Cost]] ) * Tabla1[[#This Row],[Quantity_Sold]]</f>
        <v>9455.8000000000029</v>
      </c>
      <c r="P802" s="12">
        <f>Tabla1[[#This Row],[Profit]] / Tabla1[[#This Row],[Sales_Calculated]]</f>
        <v>0.21288216488810849</v>
      </c>
      <c r="Q802" s="20">
        <f xml:space="preserve"> Tabla1[[#This Row],[Unit_Price]] * Tabla1[[#This Row],[Quantity_Sold]]</f>
        <v>44418</v>
      </c>
    </row>
    <row r="803" spans="1:17" x14ac:dyDescent="0.3">
      <c r="A803" s="2">
        <v>1049</v>
      </c>
      <c r="B803" s="1">
        <v>45197</v>
      </c>
      <c r="C803" s="8" t="s">
        <v>42</v>
      </c>
      <c r="D803" s="8" t="s">
        <v>21</v>
      </c>
      <c r="E803" s="6">
        <v>5972.27</v>
      </c>
      <c r="F803" s="2">
        <v>44</v>
      </c>
      <c r="G803" s="8" t="s">
        <v>16</v>
      </c>
      <c r="H803" s="6">
        <v>3351.33</v>
      </c>
      <c r="I803" s="6">
        <v>3465.35</v>
      </c>
      <c r="J803" s="8" t="s">
        <v>17</v>
      </c>
      <c r="K803" s="12">
        <v>0.12</v>
      </c>
      <c r="L803" s="8" t="s">
        <v>27</v>
      </c>
      <c r="M803" s="8" t="s">
        <v>19</v>
      </c>
      <c r="N803" s="10" t="s">
        <v>51</v>
      </c>
      <c r="O803" s="17">
        <f xml:space="preserve"> (Tabla1[[#This Row],[Unit_Price]] - Tabla1[[#This Row],[Unit_Cost]] ) * Tabla1[[#This Row],[Quantity_Sold]]</f>
        <v>5016.8799999999992</v>
      </c>
      <c r="P803" s="12">
        <f>Tabla1[[#This Row],[Profit]] / Tabla1[[#This Row],[Sales_Calculated]]</f>
        <v>3.2902881382832899E-2</v>
      </c>
      <c r="Q803" s="20">
        <f xml:space="preserve"> Tabla1[[#This Row],[Unit_Price]] * Tabla1[[#This Row],[Quantity_Sold]]</f>
        <v>152475.4</v>
      </c>
    </row>
    <row r="804" spans="1:17" x14ac:dyDescent="0.3">
      <c r="A804" s="2">
        <v>1077</v>
      </c>
      <c r="B804" s="1">
        <v>45211</v>
      </c>
      <c r="C804" s="8" t="s">
        <v>24</v>
      </c>
      <c r="D804" s="8" t="s">
        <v>25</v>
      </c>
      <c r="E804" s="6">
        <v>628.15</v>
      </c>
      <c r="F804" s="2">
        <v>23</v>
      </c>
      <c r="G804" s="8" t="s">
        <v>35</v>
      </c>
      <c r="H804" s="6">
        <v>557.52</v>
      </c>
      <c r="I804" s="6">
        <v>822.39</v>
      </c>
      <c r="J804" s="8" t="s">
        <v>17</v>
      </c>
      <c r="K804" s="12">
        <v>0.28999999999999998</v>
      </c>
      <c r="L804" s="8" t="s">
        <v>31</v>
      </c>
      <c r="M804" s="8" t="s">
        <v>19</v>
      </c>
      <c r="N804" s="10" t="s">
        <v>28</v>
      </c>
      <c r="O804" s="17">
        <f xml:space="preserve"> (Tabla1[[#This Row],[Unit_Price]] - Tabla1[[#This Row],[Unit_Cost]] ) * Tabla1[[#This Row],[Quantity_Sold]]</f>
        <v>6092.01</v>
      </c>
      <c r="P804" s="12">
        <f>Tabla1[[#This Row],[Profit]] / Tabla1[[#This Row],[Sales_Calculated]]</f>
        <v>0.32207346879217891</v>
      </c>
      <c r="Q804" s="20">
        <f xml:space="preserve"> Tabla1[[#This Row],[Unit_Price]] * Tabla1[[#This Row],[Quantity_Sold]]</f>
        <v>18914.97</v>
      </c>
    </row>
    <row r="805" spans="1:17" x14ac:dyDescent="0.3">
      <c r="A805" s="2">
        <v>1033</v>
      </c>
      <c r="B805" s="1">
        <v>45083</v>
      </c>
      <c r="C805" s="8" t="s">
        <v>42</v>
      </c>
      <c r="D805" s="8" t="s">
        <v>34</v>
      </c>
      <c r="E805" s="6">
        <v>4602.17</v>
      </c>
      <c r="F805" s="2">
        <v>32</v>
      </c>
      <c r="G805" s="8" t="s">
        <v>26</v>
      </c>
      <c r="H805" s="6">
        <v>108.99</v>
      </c>
      <c r="I805" s="6">
        <v>351.6</v>
      </c>
      <c r="J805" s="8" t="s">
        <v>17</v>
      </c>
      <c r="K805" s="12">
        <v>0.27</v>
      </c>
      <c r="L805" s="8" t="s">
        <v>31</v>
      </c>
      <c r="M805" s="8" t="s">
        <v>22</v>
      </c>
      <c r="N805" s="10" t="s">
        <v>52</v>
      </c>
      <c r="O805" s="17">
        <f xml:space="preserve"> (Tabla1[[#This Row],[Unit_Price]] - Tabla1[[#This Row],[Unit_Cost]] ) * Tabla1[[#This Row],[Quantity_Sold]]</f>
        <v>7763.52</v>
      </c>
      <c r="P805" s="12">
        <f>Tabla1[[#This Row],[Profit]] / Tabla1[[#This Row],[Sales_Calculated]]</f>
        <v>0.69001706484641634</v>
      </c>
      <c r="Q805" s="20">
        <f xml:space="preserve"> Tabla1[[#This Row],[Unit_Price]] * Tabla1[[#This Row],[Quantity_Sold]]</f>
        <v>11251.2</v>
      </c>
    </row>
    <row r="806" spans="1:17" x14ac:dyDescent="0.3">
      <c r="A806" s="2">
        <v>1098</v>
      </c>
      <c r="B806" s="1">
        <v>45001</v>
      </c>
      <c r="C806" s="8" t="s">
        <v>24</v>
      </c>
      <c r="D806" s="8" t="s">
        <v>25</v>
      </c>
      <c r="E806" s="6">
        <v>6780.38</v>
      </c>
      <c r="F806" s="2">
        <v>11</v>
      </c>
      <c r="G806" s="8" t="s">
        <v>16</v>
      </c>
      <c r="H806" s="6">
        <v>741.48</v>
      </c>
      <c r="I806" s="6">
        <v>878.09</v>
      </c>
      <c r="J806" s="8" t="s">
        <v>30</v>
      </c>
      <c r="K806" s="12">
        <v>0.28999999999999998</v>
      </c>
      <c r="L806" s="8" t="s">
        <v>18</v>
      </c>
      <c r="M806" s="8" t="s">
        <v>22</v>
      </c>
      <c r="N806" s="10" t="s">
        <v>28</v>
      </c>
      <c r="O806" s="17">
        <f xml:space="preserve"> (Tabla1[[#This Row],[Unit_Price]] - Tabla1[[#This Row],[Unit_Cost]] ) * Tabla1[[#This Row],[Quantity_Sold]]</f>
        <v>1502.71</v>
      </c>
      <c r="P806" s="12">
        <f>Tabla1[[#This Row],[Profit]] / Tabla1[[#This Row],[Sales_Calculated]]</f>
        <v>0.15557630766777894</v>
      </c>
      <c r="Q806" s="20">
        <f xml:space="preserve"> Tabla1[[#This Row],[Unit_Price]] * Tabla1[[#This Row],[Quantity_Sold]]</f>
        <v>9658.99</v>
      </c>
    </row>
    <row r="807" spans="1:17" x14ac:dyDescent="0.3">
      <c r="A807" s="2">
        <v>1099</v>
      </c>
      <c r="B807" s="1">
        <v>45214</v>
      </c>
      <c r="C807" s="8" t="s">
        <v>24</v>
      </c>
      <c r="D807" s="8" t="s">
        <v>34</v>
      </c>
      <c r="E807" s="6">
        <v>6807.56</v>
      </c>
      <c r="F807" s="2">
        <v>39</v>
      </c>
      <c r="G807" s="8" t="s">
        <v>35</v>
      </c>
      <c r="H807" s="6">
        <v>3592.89</v>
      </c>
      <c r="I807" s="6">
        <v>4004</v>
      </c>
      <c r="J807" s="8" t="s">
        <v>30</v>
      </c>
      <c r="K807" s="12">
        <v>0.13</v>
      </c>
      <c r="L807" s="8" t="s">
        <v>18</v>
      </c>
      <c r="M807" s="8" t="s">
        <v>19</v>
      </c>
      <c r="N807" s="10" t="s">
        <v>50</v>
      </c>
      <c r="O807" s="17">
        <f xml:space="preserve"> (Tabla1[[#This Row],[Unit_Price]] - Tabla1[[#This Row],[Unit_Cost]] ) * Tabla1[[#This Row],[Quantity_Sold]]</f>
        <v>16033.290000000005</v>
      </c>
      <c r="P807" s="12">
        <f>Tabla1[[#This Row],[Profit]] / Tabla1[[#This Row],[Sales_Calculated]]</f>
        <v>0.10267482517482521</v>
      </c>
      <c r="Q807" s="20">
        <f xml:space="preserve"> Tabla1[[#This Row],[Unit_Price]] * Tabla1[[#This Row],[Quantity_Sold]]</f>
        <v>156156</v>
      </c>
    </row>
    <row r="808" spans="1:17" x14ac:dyDescent="0.3">
      <c r="A808" s="2">
        <v>1001</v>
      </c>
      <c r="B808" s="1">
        <v>45056</v>
      </c>
      <c r="C808" s="8" t="s">
        <v>24</v>
      </c>
      <c r="D808" s="8" t="s">
        <v>34</v>
      </c>
      <c r="E808" s="6">
        <v>3793.91</v>
      </c>
      <c r="F808" s="2">
        <v>47</v>
      </c>
      <c r="G808" s="8" t="s">
        <v>26</v>
      </c>
      <c r="H808" s="6">
        <v>4865.33</v>
      </c>
      <c r="I808" s="6">
        <v>5316.13</v>
      </c>
      <c r="J808" s="8" t="s">
        <v>30</v>
      </c>
      <c r="K808" s="12">
        <v>0.06</v>
      </c>
      <c r="L808" s="8" t="s">
        <v>27</v>
      </c>
      <c r="M808" s="8" t="s">
        <v>19</v>
      </c>
      <c r="N808" s="10" t="s">
        <v>50</v>
      </c>
      <c r="O808" s="17">
        <f xml:space="preserve"> (Tabla1[[#This Row],[Unit_Price]] - Tabla1[[#This Row],[Unit_Cost]] ) * Tabla1[[#This Row],[Quantity_Sold]]</f>
        <v>21187.600000000009</v>
      </c>
      <c r="P808" s="12">
        <f>Tabla1[[#This Row],[Profit]] / Tabla1[[#This Row],[Sales_Calculated]]</f>
        <v>8.4798528252695127E-2</v>
      </c>
      <c r="Q808" s="20">
        <f xml:space="preserve"> Tabla1[[#This Row],[Unit_Price]] * Tabla1[[#This Row],[Quantity_Sold]]</f>
        <v>249858.11000000002</v>
      </c>
    </row>
    <row r="809" spans="1:17" x14ac:dyDescent="0.3">
      <c r="A809" s="2">
        <v>1021</v>
      </c>
      <c r="B809" s="1">
        <v>45101</v>
      </c>
      <c r="C809" s="8" t="s">
        <v>42</v>
      </c>
      <c r="D809" s="8" t="s">
        <v>21</v>
      </c>
      <c r="E809" s="6">
        <v>9422.75</v>
      </c>
      <c r="F809" s="2">
        <v>24</v>
      </c>
      <c r="G809" s="8" t="s">
        <v>35</v>
      </c>
      <c r="H809" s="6">
        <v>4916.17</v>
      </c>
      <c r="I809" s="6">
        <v>5309.32</v>
      </c>
      <c r="J809" s="8" t="s">
        <v>17</v>
      </c>
      <c r="K809" s="12">
        <v>0.19</v>
      </c>
      <c r="L809" s="8" t="s">
        <v>31</v>
      </c>
      <c r="M809" s="8" t="s">
        <v>19</v>
      </c>
      <c r="N809" s="10" t="s">
        <v>51</v>
      </c>
      <c r="O809" s="17">
        <f xml:space="preserve"> (Tabla1[[#This Row],[Unit_Price]] - Tabla1[[#This Row],[Unit_Cost]] ) * Tabla1[[#This Row],[Quantity_Sold]]</f>
        <v>9435.5999999999913</v>
      </c>
      <c r="P809" s="12">
        <f>Tabla1[[#This Row],[Profit]] / Tabla1[[#This Row],[Sales_Calculated]]</f>
        <v>7.4049030761001347E-2</v>
      </c>
      <c r="Q809" s="20">
        <f xml:space="preserve"> Tabla1[[#This Row],[Unit_Price]] * Tabla1[[#This Row],[Quantity_Sold]]</f>
        <v>127423.67999999999</v>
      </c>
    </row>
    <row r="810" spans="1:17" x14ac:dyDescent="0.3">
      <c r="A810" s="2">
        <v>1055</v>
      </c>
      <c r="B810" s="1">
        <v>45010</v>
      </c>
      <c r="C810" s="8" t="s">
        <v>24</v>
      </c>
      <c r="D810" s="8" t="s">
        <v>34</v>
      </c>
      <c r="E810" s="6">
        <v>1756.83</v>
      </c>
      <c r="F810" s="2">
        <v>11</v>
      </c>
      <c r="G810" s="8" t="s">
        <v>35</v>
      </c>
      <c r="H810" s="6">
        <v>2495.1999999999998</v>
      </c>
      <c r="I810" s="6">
        <v>2600.9299999999998</v>
      </c>
      <c r="J810" s="8" t="s">
        <v>30</v>
      </c>
      <c r="K810" s="12">
        <v>0.21</v>
      </c>
      <c r="L810" s="8" t="s">
        <v>27</v>
      </c>
      <c r="M810" s="8" t="s">
        <v>22</v>
      </c>
      <c r="N810" s="10" t="s">
        <v>50</v>
      </c>
      <c r="O810" s="17">
        <f xml:space="preserve"> (Tabla1[[#This Row],[Unit_Price]] - Tabla1[[#This Row],[Unit_Cost]] ) * Tabla1[[#This Row],[Quantity_Sold]]</f>
        <v>1163.0300000000002</v>
      </c>
      <c r="P810" s="12">
        <f>Tabla1[[#This Row],[Profit]] / Tabla1[[#This Row],[Sales_Calculated]]</f>
        <v>4.065084412114129E-2</v>
      </c>
      <c r="Q810" s="20">
        <f xml:space="preserve"> Tabla1[[#This Row],[Unit_Price]] * Tabla1[[#This Row],[Quantity_Sold]]</f>
        <v>28610.23</v>
      </c>
    </row>
    <row r="811" spans="1:17" x14ac:dyDescent="0.3">
      <c r="A811" s="2">
        <v>1006</v>
      </c>
      <c r="B811" s="1">
        <v>44948</v>
      </c>
      <c r="C811" s="8" t="s">
        <v>42</v>
      </c>
      <c r="D811" s="8" t="s">
        <v>25</v>
      </c>
      <c r="E811" s="6">
        <v>5053.5600000000004</v>
      </c>
      <c r="F811" s="2">
        <v>29</v>
      </c>
      <c r="G811" s="8" t="s">
        <v>35</v>
      </c>
      <c r="H811" s="6">
        <v>4353.29</v>
      </c>
      <c r="I811" s="6">
        <v>4405.8</v>
      </c>
      <c r="J811" s="8" t="s">
        <v>30</v>
      </c>
      <c r="K811" s="12">
        <v>0.04</v>
      </c>
      <c r="L811" s="8" t="s">
        <v>27</v>
      </c>
      <c r="M811" s="8" t="s">
        <v>19</v>
      </c>
      <c r="N811" s="10" t="s">
        <v>43</v>
      </c>
      <c r="O811" s="17">
        <f xml:space="preserve"> (Tabla1[[#This Row],[Unit_Price]] - Tabla1[[#This Row],[Unit_Cost]] ) * Tabla1[[#This Row],[Quantity_Sold]]</f>
        <v>1522.7900000000063</v>
      </c>
      <c r="P811" s="12">
        <f>Tabla1[[#This Row],[Profit]] / Tabla1[[#This Row],[Sales_Calculated]]</f>
        <v>1.1918380316855104E-2</v>
      </c>
      <c r="Q811" s="20">
        <f xml:space="preserve"> Tabla1[[#This Row],[Unit_Price]] * Tabla1[[#This Row],[Quantity_Sold]]</f>
        <v>127768.20000000001</v>
      </c>
    </row>
    <row r="812" spans="1:17" x14ac:dyDescent="0.3">
      <c r="A812" s="2">
        <v>1092</v>
      </c>
      <c r="B812" s="1">
        <v>44953</v>
      </c>
      <c r="C812" s="8" t="s">
        <v>24</v>
      </c>
      <c r="D812" s="8" t="s">
        <v>21</v>
      </c>
      <c r="E812" s="6">
        <v>6939.75</v>
      </c>
      <c r="F812" s="2">
        <v>26</v>
      </c>
      <c r="G812" s="8" t="s">
        <v>16</v>
      </c>
      <c r="H812" s="6">
        <v>3697.29</v>
      </c>
      <c r="I812" s="6">
        <v>4003.96</v>
      </c>
      <c r="J812" s="8" t="s">
        <v>30</v>
      </c>
      <c r="K812" s="12">
        <v>0.24</v>
      </c>
      <c r="L812" s="8" t="s">
        <v>18</v>
      </c>
      <c r="M812" s="8" t="s">
        <v>19</v>
      </c>
      <c r="N812" s="10" t="s">
        <v>47</v>
      </c>
      <c r="O812" s="17">
        <f xml:space="preserve"> (Tabla1[[#This Row],[Unit_Price]] - Tabla1[[#This Row],[Unit_Cost]] ) * Tabla1[[#This Row],[Quantity_Sold]]</f>
        <v>7973.4200000000019</v>
      </c>
      <c r="P812" s="12">
        <f>Tabla1[[#This Row],[Profit]] / Tabla1[[#This Row],[Sales_Calculated]]</f>
        <v>7.6591674242499935E-2</v>
      </c>
      <c r="Q812" s="20">
        <f xml:space="preserve"> Tabla1[[#This Row],[Unit_Price]] * Tabla1[[#This Row],[Quantity_Sold]]</f>
        <v>104102.96</v>
      </c>
    </row>
    <row r="813" spans="1:17" x14ac:dyDescent="0.3">
      <c r="A813" s="2">
        <v>1081</v>
      </c>
      <c r="B813" s="1">
        <v>45121</v>
      </c>
      <c r="C813" s="8" t="s">
        <v>38</v>
      </c>
      <c r="D813" s="8" t="s">
        <v>15</v>
      </c>
      <c r="E813" s="6">
        <v>7001.64</v>
      </c>
      <c r="F813" s="2">
        <v>16</v>
      </c>
      <c r="G813" s="8" t="s">
        <v>29</v>
      </c>
      <c r="H813" s="6">
        <v>2530.15</v>
      </c>
      <c r="I813" s="6">
        <v>2568.13</v>
      </c>
      <c r="J813" s="8" t="s">
        <v>30</v>
      </c>
      <c r="K813" s="12">
        <v>0.01</v>
      </c>
      <c r="L813" s="8" t="s">
        <v>31</v>
      </c>
      <c r="M813" s="8" t="s">
        <v>19</v>
      </c>
      <c r="N813" s="10" t="s">
        <v>40</v>
      </c>
      <c r="O813" s="17">
        <f xml:space="preserve"> (Tabla1[[#This Row],[Unit_Price]] - Tabla1[[#This Row],[Unit_Cost]] ) * Tabla1[[#This Row],[Quantity_Sold]]</f>
        <v>607.68000000000029</v>
      </c>
      <c r="P813" s="12">
        <f>Tabla1[[#This Row],[Profit]] / Tabla1[[#This Row],[Sales_Calculated]]</f>
        <v>1.4788970963307939E-2</v>
      </c>
      <c r="Q813" s="20">
        <f xml:space="preserve"> Tabla1[[#This Row],[Unit_Price]] * Tabla1[[#This Row],[Quantity_Sold]]</f>
        <v>41090.080000000002</v>
      </c>
    </row>
    <row r="814" spans="1:17" x14ac:dyDescent="0.3">
      <c r="A814" s="2">
        <v>1069</v>
      </c>
      <c r="B814" s="1">
        <v>45263</v>
      </c>
      <c r="C814" s="8" t="s">
        <v>24</v>
      </c>
      <c r="D814" s="8" t="s">
        <v>15</v>
      </c>
      <c r="E814" s="6">
        <v>6521.53</v>
      </c>
      <c r="F814" s="2">
        <v>35</v>
      </c>
      <c r="G814" s="8" t="s">
        <v>35</v>
      </c>
      <c r="H814" s="6">
        <v>2885.16</v>
      </c>
      <c r="I814" s="6">
        <v>3224.8399999999901</v>
      </c>
      <c r="J814" s="8" t="s">
        <v>30</v>
      </c>
      <c r="K814" s="12">
        <v>0.14000000000000001</v>
      </c>
      <c r="L814" s="8" t="s">
        <v>18</v>
      </c>
      <c r="M814" s="8" t="s">
        <v>19</v>
      </c>
      <c r="N814" s="10" t="s">
        <v>45</v>
      </c>
      <c r="O814" s="17">
        <f xml:space="preserve"> (Tabla1[[#This Row],[Unit_Price]] - Tabla1[[#This Row],[Unit_Cost]] ) * Tabla1[[#This Row],[Quantity_Sold]]</f>
        <v>11888.799999999661</v>
      </c>
      <c r="P814" s="12">
        <f>Tabla1[[#This Row],[Profit]] / Tabla1[[#This Row],[Sales_Calculated]]</f>
        <v>0.10533235757432659</v>
      </c>
      <c r="Q814" s="20">
        <f xml:space="preserve"> Tabla1[[#This Row],[Unit_Price]] * Tabla1[[#This Row],[Quantity_Sold]]</f>
        <v>112869.39999999966</v>
      </c>
    </row>
    <row r="815" spans="1:17" x14ac:dyDescent="0.3">
      <c r="A815" s="2">
        <v>1095</v>
      </c>
      <c r="B815" s="1">
        <v>45162</v>
      </c>
      <c r="C815" s="8" t="s">
        <v>14</v>
      </c>
      <c r="D815" s="8" t="s">
        <v>21</v>
      </c>
      <c r="E815" s="6">
        <v>2825.35</v>
      </c>
      <c r="F815" s="2">
        <v>20</v>
      </c>
      <c r="G815" s="8" t="s">
        <v>26</v>
      </c>
      <c r="H815" s="6">
        <v>729.27</v>
      </c>
      <c r="I815" s="6">
        <v>999.18</v>
      </c>
      <c r="J815" s="8" t="s">
        <v>30</v>
      </c>
      <c r="K815" s="12">
        <v>0.1</v>
      </c>
      <c r="L815" s="8" t="s">
        <v>27</v>
      </c>
      <c r="M815" s="8" t="s">
        <v>19</v>
      </c>
      <c r="N815" s="10" t="s">
        <v>23</v>
      </c>
      <c r="O815" s="17">
        <f xml:space="preserve"> (Tabla1[[#This Row],[Unit_Price]] - Tabla1[[#This Row],[Unit_Cost]] ) * Tabla1[[#This Row],[Quantity_Sold]]</f>
        <v>5398.1999999999989</v>
      </c>
      <c r="P815" s="12">
        <f>Tabla1[[#This Row],[Profit]] / Tabla1[[#This Row],[Sales_Calculated]]</f>
        <v>0.27013150783642581</v>
      </c>
      <c r="Q815" s="20">
        <f xml:space="preserve"> Tabla1[[#This Row],[Unit_Price]] * Tabla1[[#This Row],[Quantity_Sold]]</f>
        <v>19983.599999999999</v>
      </c>
    </row>
    <row r="816" spans="1:17" x14ac:dyDescent="0.3">
      <c r="A816" s="2">
        <v>1005</v>
      </c>
      <c r="B816" s="1">
        <v>45018</v>
      </c>
      <c r="C816" s="8" t="s">
        <v>24</v>
      </c>
      <c r="D816" s="8" t="s">
        <v>25</v>
      </c>
      <c r="E816" s="6">
        <v>1646.45</v>
      </c>
      <c r="F816" s="2">
        <v>46</v>
      </c>
      <c r="G816" s="8" t="s">
        <v>16</v>
      </c>
      <c r="H816" s="6">
        <v>4691.42</v>
      </c>
      <c r="I816" s="6">
        <v>5026.1899999999996</v>
      </c>
      <c r="J816" s="8" t="s">
        <v>17</v>
      </c>
      <c r="K816" s="12">
        <v>0.22</v>
      </c>
      <c r="L816" s="8" t="s">
        <v>27</v>
      </c>
      <c r="M816" s="8" t="s">
        <v>22</v>
      </c>
      <c r="N816" s="10" t="s">
        <v>28</v>
      </c>
      <c r="O816" s="17">
        <f xml:space="preserve"> (Tabla1[[#This Row],[Unit_Price]] - Tabla1[[#This Row],[Unit_Cost]] ) * Tabla1[[#This Row],[Quantity_Sold]]</f>
        <v>15399.419999999978</v>
      </c>
      <c r="P816" s="12">
        <f>Tabla1[[#This Row],[Profit]] / Tabla1[[#This Row],[Sales_Calculated]]</f>
        <v>6.660512236903092E-2</v>
      </c>
      <c r="Q816" s="20">
        <f xml:space="preserve"> Tabla1[[#This Row],[Unit_Price]] * Tabla1[[#This Row],[Quantity_Sold]]</f>
        <v>231204.74</v>
      </c>
    </row>
    <row r="817" spans="1:17" x14ac:dyDescent="0.3">
      <c r="A817" s="2">
        <v>1003</v>
      </c>
      <c r="B817" s="1">
        <v>44947</v>
      </c>
      <c r="C817" s="8" t="s">
        <v>33</v>
      </c>
      <c r="D817" s="8" t="s">
        <v>15</v>
      </c>
      <c r="E817" s="6">
        <v>6395.81</v>
      </c>
      <c r="F817" s="2">
        <v>3</v>
      </c>
      <c r="G817" s="8" t="s">
        <v>16</v>
      </c>
      <c r="H817" s="6">
        <v>1792.05</v>
      </c>
      <c r="I817" s="6">
        <v>2091.23</v>
      </c>
      <c r="J817" s="8" t="s">
        <v>17</v>
      </c>
      <c r="K817" s="12">
        <v>0.09</v>
      </c>
      <c r="L817" s="8" t="s">
        <v>18</v>
      </c>
      <c r="M817" s="8" t="s">
        <v>22</v>
      </c>
      <c r="N817" s="10" t="s">
        <v>53</v>
      </c>
      <c r="O817" s="17">
        <f xml:space="preserve"> (Tabla1[[#This Row],[Unit_Price]] - Tabla1[[#This Row],[Unit_Cost]] ) * Tabla1[[#This Row],[Quantity_Sold]]</f>
        <v>897.54000000000019</v>
      </c>
      <c r="P817" s="12">
        <f>Tabla1[[#This Row],[Profit]] / Tabla1[[#This Row],[Sales_Calculated]]</f>
        <v>0.14306412972269911</v>
      </c>
      <c r="Q817" s="20">
        <f xml:space="preserve"> Tabla1[[#This Row],[Unit_Price]] * Tabla1[[#This Row],[Quantity_Sold]]</f>
        <v>6273.6900000000005</v>
      </c>
    </row>
    <row r="818" spans="1:17" x14ac:dyDescent="0.3">
      <c r="A818" s="2">
        <v>1053</v>
      </c>
      <c r="B818" s="1">
        <v>45229</v>
      </c>
      <c r="C818" s="8" t="s">
        <v>24</v>
      </c>
      <c r="D818" s="8" t="s">
        <v>15</v>
      </c>
      <c r="E818" s="6">
        <v>6033.09</v>
      </c>
      <c r="F818" s="2">
        <v>1</v>
      </c>
      <c r="G818" s="8" t="s">
        <v>26</v>
      </c>
      <c r="H818" s="6">
        <v>2258.44</v>
      </c>
      <c r="I818" s="6">
        <v>2475.56</v>
      </c>
      <c r="J818" s="8" t="s">
        <v>30</v>
      </c>
      <c r="K818" s="12">
        <v>0.25</v>
      </c>
      <c r="L818" s="8" t="s">
        <v>18</v>
      </c>
      <c r="M818" s="8" t="s">
        <v>19</v>
      </c>
      <c r="N818" s="10" t="s">
        <v>45</v>
      </c>
      <c r="O818" s="17">
        <f xml:space="preserve"> (Tabla1[[#This Row],[Unit_Price]] - Tabla1[[#This Row],[Unit_Cost]] ) * Tabla1[[#This Row],[Quantity_Sold]]</f>
        <v>217.11999999999989</v>
      </c>
      <c r="P818" s="12">
        <f>Tabla1[[#This Row],[Profit]] / Tabla1[[#This Row],[Sales_Calculated]]</f>
        <v>8.7705408069285284E-2</v>
      </c>
      <c r="Q818" s="20">
        <f xml:space="preserve"> Tabla1[[#This Row],[Unit_Price]] * Tabla1[[#This Row],[Quantity_Sold]]</f>
        <v>2475.56</v>
      </c>
    </row>
    <row r="819" spans="1:17" x14ac:dyDescent="0.3">
      <c r="A819" s="2">
        <v>1023</v>
      </c>
      <c r="B819" s="1">
        <v>45283</v>
      </c>
      <c r="C819" s="8" t="s">
        <v>14</v>
      </c>
      <c r="D819" s="8" t="s">
        <v>34</v>
      </c>
      <c r="E819" s="6">
        <v>1875.62</v>
      </c>
      <c r="F819" s="2">
        <v>47</v>
      </c>
      <c r="G819" s="8" t="s">
        <v>35</v>
      </c>
      <c r="H819" s="6">
        <v>3374.72</v>
      </c>
      <c r="I819" s="6">
        <v>3483.1499999999901</v>
      </c>
      <c r="J819" s="8" t="s">
        <v>17</v>
      </c>
      <c r="K819" s="12">
        <v>0.18</v>
      </c>
      <c r="L819" s="8" t="s">
        <v>18</v>
      </c>
      <c r="M819" s="8" t="s">
        <v>19</v>
      </c>
      <c r="N819" s="10" t="s">
        <v>46</v>
      </c>
      <c r="O819" s="17">
        <f xml:space="preserve"> (Tabla1[[#This Row],[Unit_Price]] - Tabla1[[#This Row],[Unit_Cost]] ) * Tabla1[[#This Row],[Quantity_Sold]]</f>
        <v>5096.2099999995435</v>
      </c>
      <c r="P819" s="12">
        <f>Tabla1[[#This Row],[Profit]] / Tabla1[[#This Row],[Sales_Calculated]]</f>
        <v>3.1129868079178502E-2</v>
      </c>
      <c r="Q819" s="20">
        <f xml:space="preserve"> Tabla1[[#This Row],[Unit_Price]] * Tabla1[[#This Row],[Quantity_Sold]]</f>
        <v>163708.04999999952</v>
      </c>
    </row>
    <row r="820" spans="1:17" x14ac:dyDescent="0.3">
      <c r="A820" s="2">
        <v>1053</v>
      </c>
      <c r="B820" s="1">
        <v>45010</v>
      </c>
      <c r="C820" s="8" t="s">
        <v>14</v>
      </c>
      <c r="D820" s="8" t="s">
        <v>34</v>
      </c>
      <c r="E820" s="6">
        <v>7080.88</v>
      </c>
      <c r="F820" s="2">
        <v>1</v>
      </c>
      <c r="G820" s="8" t="s">
        <v>29</v>
      </c>
      <c r="H820" s="6">
        <v>1702.82</v>
      </c>
      <c r="I820" s="6">
        <v>1862.61</v>
      </c>
      <c r="J820" s="8" t="s">
        <v>17</v>
      </c>
      <c r="K820" s="12">
        <v>0.24</v>
      </c>
      <c r="L820" s="8" t="s">
        <v>18</v>
      </c>
      <c r="M820" s="8" t="s">
        <v>22</v>
      </c>
      <c r="N820" s="10" t="s">
        <v>46</v>
      </c>
      <c r="O820" s="17">
        <f xml:space="preserve"> (Tabla1[[#This Row],[Unit_Price]] - Tabla1[[#This Row],[Unit_Cost]] ) * Tabla1[[#This Row],[Quantity_Sold]]</f>
        <v>159.78999999999996</v>
      </c>
      <c r="P820" s="12">
        <f>Tabla1[[#This Row],[Profit]] / Tabla1[[#This Row],[Sales_Calculated]]</f>
        <v>8.5788221903672787E-2</v>
      </c>
      <c r="Q820" s="20">
        <f xml:space="preserve"> Tabla1[[#This Row],[Unit_Price]] * Tabla1[[#This Row],[Quantity_Sold]]</f>
        <v>1862.61</v>
      </c>
    </row>
    <row r="821" spans="1:17" x14ac:dyDescent="0.3">
      <c r="A821" s="2">
        <v>1037</v>
      </c>
      <c r="B821" s="1">
        <v>45188</v>
      </c>
      <c r="C821" s="8" t="s">
        <v>42</v>
      </c>
      <c r="D821" s="8" t="s">
        <v>25</v>
      </c>
      <c r="E821" s="6">
        <v>4606.2</v>
      </c>
      <c r="F821" s="2">
        <v>17</v>
      </c>
      <c r="G821" s="8" t="s">
        <v>35</v>
      </c>
      <c r="H821" s="6">
        <v>1308.58</v>
      </c>
      <c r="I821" s="6">
        <v>1575.59</v>
      </c>
      <c r="J821" s="8" t="s">
        <v>30</v>
      </c>
      <c r="K821" s="12">
        <v>0.3</v>
      </c>
      <c r="L821" s="8" t="s">
        <v>18</v>
      </c>
      <c r="M821" s="8" t="s">
        <v>19</v>
      </c>
      <c r="N821" s="10" t="s">
        <v>43</v>
      </c>
      <c r="O821" s="17">
        <f xml:space="preserve"> (Tabla1[[#This Row],[Unit_Price]] - Tabla1[[#This Row],[Unit_Cost]] ) * Tabla1[[#This Row],[Quantity_Sold]]</f>
        <v>4539.17</v>
      </c>
      <c r="P821" s="12">
        <f>Tabla1[[#This Row],[Profit]] / Tabla1[[#This Row],[Sales_Calculated]]</f>
        <v>0.16946667597534892</v>
      </c>
      <c r="Q821" s="20">
        <f xml:space="preserve"> Tabla1[[#This Row],[Unit_Price]] * Tabla1[[#This Row],[Quantity_Sold]]</f>
        <v>26785.03</v>
      </c>
    </row>
    <row r="822" spans="1:17" x14ac:dyDescent="0.3">
      <c r="A822" s="2">
        <v>1074</v>
      </c>
      <c r="B822" s="1">
        <v>45073</v>
      </c>
      <c r="C822" s="8" t="s">
        <v>38</v>
      </c>
      <c r="D822" s="8" t="s">
        <v>21</v>
      </c>
      <c r="E822" s="6">
        <v>6710.83</v>
      </c>
      <c r="F822" s="2">
        <v>2</v>
      </c>
      <c r="G822" s="8" t="s">
        <v>26</v>
      </c>
      <c r="H822" s="6">
        <v>3173.69</v>
      </c>
      <c r="I822" s="6">
        <v>3503.11</v>
      </c>
      <c r="J822" s="8" t="s">
        <v>30</v>
      </c>
      <c r="K822" s="12">
        <v>0.2</v>
      </c>
      <c r="L822" s="8" t="s">
        <v>27</v>
      </c>
      <c r="M822" s="8" t="s">
        <v>22</v>
      </c>
      <c r="N822" s="10" t="s">
        <v>41</v>
      </c>
      <c r="O822" s="17">
        <f xml:space="preserve"> (Tabla1[[#This Row],[Unit_Price]] - Tabla1[[#This Row],[Unit_Cost]] ) * Tabla1[[#This Row],[Quantity_Sold]]</f>
        <v>658.84000000000015</v>
      </c>
      <c r="P822" s="12">
        <f>Tabla1[[#This Row],[Profit]] / Tabla1[[#This Row],[Sales_Calculated]]</f>
        <v>9.4036441904479184E-2</v>
      </c>
      <c r="Q822" s="20">
        <f xml:space="preserve"> Tabla1[[#This Row],[Unit_Price]] * Tabla1[[#This Row],[Quantity_Sold]]</f>
        <v>7006.22</v>
      </c>
    </row>
    <row r="823" spans="1:17" x14ac:dyDescent="0.3">
      <c r="A823" s="2">
        <v>1074</v>
      </c>
      <c r="B823" s="1">
        <v>45183</v>
      </c>
      <c r="C823" s="8" t="s">
        <v>24</v>
      </c>
      <c r="D823" s="8" t="s">
        <v>25</v>
      </c>
      <c r="E823" s="6">
        <v>8389.93</v>
      </c>
      <c r="F823" s="2">
        <v>29</v>
      </c>
      <c r="G823" s="8" t="s">
        <v>16</v>
      </c>
      <c r="H823" s="6">
        <v>173.67</v>
      </c>
      <c r="I823" s="6">
        <v>565.62</v>
      </c>
      <c r="J823" s="8" t="s">
        <v>17</v>
      </c>
      <c r="K823" s="12">
        <v>0.3</v>
      </c>
      <c r="L823" s="8" t="s">
        <v>18</v>
      </c>
      <c r="M823" s="8" t="s">
        <v>19</v>
      </c>
      <c r="N823" s="10" t="s">
        <v>28</v>
      </c>
      <c r="O823" s="17">
        <f xml:space="preserve"> (Tabla1[[#This Row],[Unit_Price]] - Tabla1[[#This Row],[Unit_Cost]] ) * Tabla1[[#This Row],[Quantity_Sold]]</f>
        <v>11366.550000000001</v>
      </c>
      <c r="P823" s="12">
        <f>Tabla1[[#This Row],[Profit]] / Tabla1[[#This Row],[Sales_Calculated]]</f>
        <v>0.69295640182454665</v>
      </c>
      <c r="Q823" s="20">
        <f xml:space="preserve"> Tabla1[[#This Row],[Unit_Price]] * Tabla1[[#This Row],[Quantity_Sold]]</f>
        <v>16402.98</v>
      </c>
    </row>
    <row r="824" spans="1:17" x14ac:dyDescent="0.3">
      <c r="A824" s="2">
        <v>1083</v>
      </c>
      <c r="B824" s="1">
        <v>44984</v>
      </c>
      <c r="C824" s="8" t="s">
        <v>42</v>
      </c>
      <c r="D824" s="8" t="s">
        <v>21</v>
      </c>
      <c r="E824" s="6">
        <v>1780.31</v>
      </c>
      <c r="F824" s="2">
        <v>20</v>
      </c>
      <c r="G824" s="8" t="s">
        <v>29</v>
      </c>
      <c r="H824" s="6">
        <v>3617.59</v>
      </c>
      <c r="I824" s="6">
        <v>4003.5</v>
      </c>
      <c r="J824" s="8" t="s">
        <v>30</v>
      </c>
      <c r="K824" s="12">
        <v>0.01</v>
      </c>
      <c r="L824" s="8" t="s">
        <v>31</v>
      </c>
      <c r="M824" s="8" t="s">
        <v>22</v>
      </c>
      <c r="N824" s="10" t="s">
        <v>51</v>
      </c>
      <c r="O824" s="17">
        <f xml:space="preserve"> (Tabla1[[#This Row],[Unit_Price]] - Tabla1[[#This Row],[Unit_Cost]] ) * Tabla1[[#This Row],[Quantity_Sold]]</f>
        <v>7718.1999999999971</v>
      </c>
      <c r="P824" s="12">
        <f>Tabla1[[#This Row],[Profit]] / Tabla1[[#This Row],[Sales_Calculated]]</f>
        <v>9.6393155988510018E-2</v>
      </c>
      <c r="Q824" s="20">
        <f xml:space="preserve"> Tabla1[[#This Row],[Unit_Price]] * Tabla1[[#This Row],[Quantity_Sold]]</f>
        <v>80070</v>
      </c>
    </row>
    <row r="825" spans="1:17" x14ac:dyDescent="0.3">
      <c r="A825" s="2">
        <v>1017</v>
      </c>
      <c r="B825" s="1">
        <v>44941</v>
      </c>
      <c r="C825" s="8" t="s">
        <v>38</v>
      </c>
      <c r="D825" s="8" t="s">
        <v>15</v>
      </c>
      <c r="E825" s="6">
        <v>289.52999999999997</v>
      </c>
      <c r="F825" s="2">
        <v>6</v>
      </c>
      <c r="G825" s="8" t="s">
        <v>16</v>
      </c>
      <c r="H825" s="6">
        <v>2594.42</v>
      </c>
      <c r="I825" s="6">
        <v>3081.04</v>
      </c>
      <c r="J825" s="8" t="s">
        <v>17</v>
      </c>
      <c r="K825" s="12">
        <v>0.1</v>
      </c>
      <c r="L825" s="8" t="s">
        <v>27</v>
      </c>
      <c r="M825" s="8" t="s">
        <v>22</v>
      </c>
      <c r="N825" s="10" t="s">
        <v>40</v>
      </c>
      <c r="O825" s="17">
        <f xml:space="preserve"> (Tabla1[[#This Row],[Unit_Price]] - Tabla1[[#This Row],[Unit_Cost]] ) * Tabla1[[#This Row],[Quantity_Sold]]</f>
        <v>2919.7199999999993</v>
      </c>
      <c r="P825" s="12">
        <f>Tabla1[[#This Row],[Profit]] / Tabla1[[#This Row],[Sales_Calculated]]</f>
        <v>0.15794017604445251</v>
      </c>
      <c r="Q825" s="20">
        <f xml:space="preserve"> Tabla1[[#This Row],[Unit_Price]] * Tabla1[[#This Row],[Quantity_Sold]]</f>
        <v>18486.239999999998</v>
      </c>
    </row>
    <row r="826" spans="1:17" x14ac:dyDescent="0.3">
      <c r="A826" s="2">
        <v>1085</v>
      </c>
      <c r="B826" s="1">
        <v>45088</v>
      </c>
      <c r="C826" s="8" t="s">
        <v>24</v>
      </c>
      <c r="D826" s="8" t="s">
        <v>34</v>
      </c>
      <c r="E826" s="6">
        <v>7813.12</v>
      </c>
      <c r="F826" s="2">
        <v>8</v>
      </c>
      <c r="G826" s="8" t="s">
        <v>26</v>
      </c>
      <c r="H826" s="6">
        <v>3048.48</v>
      </c>
      <c r="I826" s="6">
        <v>3198.54</v>
      </c>
      <c r="J826" s="8" t="s">
        <v>17</v>
      </c>
      <c r="K826" s="12">
        <v>0.03</v>
      </c>
      <c r="L826" s="8" t="s">
        <v>27</v>
      </c>
      <c r="M826" s="8" t="s">
        <v>19</v>
      </c>
      <c r="N826" s="10" t="s">
        <v>50</v>
      </c>
      <c r="O826" s="17">
        <f xml:space="preserve"> (Tabla1[[#This Row],[Unit_Price]] - Tabla1[[#This Row],[Unit_Cost]] ) * Tabla1[[#This Row],[Quantity_Sold]]</f>
        <v>1200.4799999999996</v>
      </c>
      <c r="P826" s="12">
        <f>Tabla1[[#This Row],[Profit]] / Tabla1[[#This Row],[Sales_Calculated]]</f>
        <v>4.6915155039486747E-2</v>
      </c>
      <c r="Q826" s="20">
        <f xml:space="preserve"> Tabla1[[#This Row],[Unit_Price]] * Tabla1[[#This Row],[Quantity_Sold]]</f>
        <v>25588.32</v>
      </c>
    </row>
    <row r="827" spans="1:17" x14ac:dyDescent="0.3">
      <c r="A827" s="2">
        <v>1078</v>
      </c>
      <c r="B827" s="1">
        <v>45089</v>
      </c>
      <c r="C827" s="8" t="s">
        <v>33</v>
      </c>
      <c r="D827" s="8" t="s">
        <v>25</v>
      </c>
      <c r="E827" s="6">
        <v>6136</v>
      </c>
      <c r="F827" s="2">
        <v>29</v>
      </c>
      <c r="G827" s="8" t="s">
        <v>35</v>
      </c>
      <c r="H827" s="6">
        <v>3177.81</v>
      </c>
      <c r="I827" s="6">
        <v>3222.65</v>
      </c>
      <c r="J827" s="8" t="s">
        <v>17</v>
      </c>
      <c r="K827" s="12">
        <v>0.08</v>
      </c>
      <c r="L827" s="8" t="s">
        <v>31</v>
      </c>
      <c r="M827" s="8" t="s">
        <v>22</v>
      </c>
      <c r="N827" s="10" t="s">
        <v>44</v>
      </c>
      <c r="O827" s="17">
        <f xml:space="preserve"> (Tabla1[[#This Row],[Unit_Price]] - Tabla1[[#This Row],[Unit_Cost]] ) * Tabla1[[#This Row],[Quantity_Sold]]</f>
        <v>1300.3600000000042</v>
      </c>
      <c r="P827" s="12">
        <f>Tabla1[[#This Row],[Profit]] / Tabla1[[#This Row],[Sales_Calculated]]</f>
        <v>1.3914014863544022E-2</v>
      </c>
      <c r="Q827" s="20">
        <f xml:space="preserve"> Tabla1[[#This Row],[Unit_Price]] * Tabla1[[#This Row],[Quantity_Sold]]</f>
        <v>93456.85</v>
      </c>
    </row>
    <row r="828" spans="1:17" x14ac:dyDescent="0.3">
      <c r="A828" s="2">
        <v>1073</v>
      </c>
      <c r="B828" s="1">
        <v>45246</v>
      </c>
      <c r="C828" s="8" t="s">
        <v>24</v>
      </c>
      <c r="D828" s="8" t="s">
        <v>25</v>
      </c>
      <c r="E828" s="6">
        <v>7026.43</v>
      </c>
      <c r="F828" s="2">
        <v>48</v>
      </c>
      <c r="G828" s="8" t="s">
        <v>29</v>
      </c>
      <c r="H828" s="6">
        <v>2658.9</v>
      </c>
      <c r="I828" s="6">
        <v>2838.27</v>
      </c>
      <c r="J828" s="8" t="s">
        <v>30</v>
      </c>
      <c r="K828" s="12">
        <v>0.25</v>
      </c>
      <c r="L828" s="8" t="s">
        <v>31</v>
      </c>
      <c r="M828" s="8" t="s">
        <v>19</v>
      </c>
      <c r="N828" s="10" t="s">
        <v>28</v>
      </c>
      <c r="O828" s="17">
        <f xml:space="preserve"> (Tabla1[[#This Row],[Unit_Price]] - Tabla1[[#This Row],[Unit_Cost]] ) * Tabla1[[#This Row],[Quantity_Sold]]</f>
        <v>8609.7599999999948</v>
      </c>
      <c r="P828" s="12">
        <f>Tabla1[[#This Row],[Profit]] / Tabla1[[#This Row],[Sales_Calculated]]</f>
        <v>6.3196947436290382E-2</v>
      </c>
      <c r="Q828" s="20">
        <f xml:space="preserve"> Tabla1[[#This Row],[Unit_Price]] * Tabla1[[#This Row],[Quantity_Sold]]</f>
        <v>136236.96</v>
      </c>
    </row>
    <row r="829" spans="1:17" x14ac:dyDescent="0.3">
      <c r="A829" s="2">
        <v>1001</v>
      </c>
      <c r="B829" s="1">
        <v>45207</v>
      </c>
      <c r="C829" s="8" t="s">
        <v>14</v>
      </c>
      <c r="D829" s="8" t="s">
        <v>21</v>
      </c>
      <c r="E829" s="6">
        <v>8397.73</v>
      </c>
      <c r="F829" s="2">
        <v>33</v>
      </c>
      <c r="G829" s="8" t="s">
        <v>16</v>
      </c>
      <c r="H829" s="6">
        <v>2933.54</v>
      </c>
      <c r="I829" s="6">
        <v>3307.75</v>
      </c>
      <c r="J829" s="8" t="s">
        <v>17</v>
      </c>
      <c r="K829" s="12">
        <v>0.01</v>
      </c>
      <c r="L829" s="8" t="s">
        <v>27</v>
      </c>
      <c r="M829" s="8" t="s">
        <v>22</v>
      </c>
      <c r="N829" s="10" t="s">
        <v>23</v>
      </c>
      <c r="O829" s="17">
        <f xml:space="preserve"> (Tabla1[[#This Row],[Unit_Price]] - Tabla1[[#This Row],[Unit_Cost]] ) * Tabla1[[#This Row],[Quantity_Sold]]</f>
        <v>12348.93</v>
      </c>
      <c r="P829" s="12">
        <f>Tabla1[[#This Row],[Profit]] / Tabla1[[#This Row],[Sales_Calculated]]</f>
        <v>0.11313128259390824</v>
      </c>
      <c r="Q829" s="20">
        <f xml:space="preserve"> Tabla1[[#This Row],[Unit_Price]] * Tabla1[[#This Row],[Quantity_Sold]]</f>
        <v>109155.75</v>
      </c>
    </row>
    <row r="830" spans="1:17" x14ac:dyDescent="0.3">
      <c r="A830" s="2">
        <v>1051</v>
      </c>
      <c r="B830" s="1">
        <v>45206</v>
      </c>
      <c r="C830" s="8" t="s">
        <v>14</v>
      </c>
      <c r="D830" s="8" t="s">
        <v>21</v>
      </c>
      <c r="E830" s="6">
        <v>8047.83</v>
      </c>
      <c r="F830" s="2">
        <v>3</v>
      </c>
      <c r="G830" s="8" t="s">
        <v>16</v>
      </c>
      <c r="H830" s="6">
        <v>3434.75</v>
      </c>
      <c r="I830" s="6">
        <v>3659.42</v>
      </c>
      <c r="J830" s="8" t="s">
        <v>30</v>
      </c>
      <c r="K830" s="12">
        <v>0.16</v>
      </c>
      <c r="L830" s="8" t="s">
        <v>18</v>
      </c>
      <c r="M830" s="8" t="s">
        <v>19</v>
      </c>
      <c r="N830" s="10" t="s">
        <v>23</v>
      </c>
      <c r="O830" s="17">
        <f xml:space="preserve"> (Tabla1[[#This Row],[Unit_Price]] - Tabla1[[#This Row],[Unit_Cost]] ) * Tabla1[[#This Row],[Quantity_Sold]]</f>
        <v>674.01000000000022</v>
      </c>
      <c r="P830" s="12">
        <f>Tabla1[[#This Row],[Profit]] / Tabla1[[#This Row],[Sales_Calculated]]</f>
        <v>6.1394975159998054E-2</v>
      </c>
      <c r="Q830" s="20">
        <f xml:space="preserve"> Tabla1[[#This Row],[Unit_Price]] * Tabla1[[#This Row],[Quantity_Sold]]</f>
        <v>10978.26</v>
      </c>
    </row>
    <row r="831" spans="1:17" x14ac:dyDescent="0.3">
      <c r="A831" s="2">
        <v>1045</v>
      </c>
      <c r="B831" s="1">
        <v>44938</v>
      </c>
      <c r="C831" s="8" t="s">
        <v>33</v>
      </c>
      <c r="D831" s="8" t="s">
        <v>25</v>
      </c>
      <c r="E831" s="6">
        <v>9613.11</v>
      </c>
      <c r="F831" s="2">
        <v>35</v>
      </c>
      <c r="G831" s="8" t="s">
        <v>16</v>
      </c>
      <c r="H831" s="6">
        <v>3777.94</v>
      </c>
      <c r="I831" s="6">
        <v>4188.66</v>
      </c>
      <c r="J831" s="8" t="s">
        <v>30</v>
      </c>
      <c r="K831" s="12">
        <v>0.17</v>
      </c>
      <c r="L831" s="8" t="s">
        <v>27</v>
      </c>
      <c r="M831" s="8" t="s">
        <v>19</v>
      </c>
      <c r="N831" s="10" t="s">
        <v>44</v>
      </c>
      <c r="O831" s="17">
        <f xml:space="preserve"> (Tabla1[[#This Row],[Unit_Price]] - Tabla1[[#This Row],[Unit_Cost]] ) * Tabla1[[#This Row],[Quantity_Sold]]</f>
        <v>14375.199999999993</v>
      </c>
      <c r="P831" s="12">
        <f>Tabla1[[#This Row],[Profit]] / Tabla1[[#This Row],[Sales_Calculated]]</f>
        <v>9.8055225298782855E-2</v>
      </c>
      <c r="Q831" s="20">
        <f xml:space="preserve"> Tabla1[[#This Row],[Unit_Price]] * Tabla1[[#This Row],[Quantity_Sold]]</f>
        <v>146603.1</v>
      </c>
    </row>
    <row r="832" spans="1:17" x14ac:dyDescent="0.3">
      <c r="A832" s="2">
        <v>1077</v>
      </c>
      <c r="B832" s="1">
        <v>45200</v>
      </c>
      <c r="C832" s="8" t="s">
        <v>42</v>
      </c>
      <c r="D832" s="8" t="s">
        <v>21</v>
      </c>
      <c r="E832" s="6">
        <v>5405.76</v>
      </c>
      <c r="F832" s="2">
        <v>5</v>
      </c>
      <c r="G832" s="8" t="s">
        <v>35</v>
      </c>
      <c r="H832" s="6">
        <v>3650.89</v>
      </c>
      <c r="I832" s="6">
        <v>3930.06</v>
      </c>
      <c r="J832" s="8" t="s">
        <v>30</v>
      </c>
      <c r="K832" s="12">
        <v>0.17</v>
      </c>
      <c r="L832" s="8" t="s">
        <v>27</v>
      </c>
      <c r="M832" s="8" t="s">
        <v>19</v>
      </c>
      <c r="N832" s="10" t="s">
        <v>51</v>
      </c>
      <c r="O832" s="17">
        <f xml:space="preserve"> (Tabla1[[#This Row],[Unit_Price]] - Tabla1[[#This Row],[Unit_Cost]] ) * Tabla1[[#This Row],[Quantity_Sold]]</f>
        <v>1395.8500000000004</v>
      </c>
      <c r="P832" s="12">
        <f>Tabla1[[#This Row],[Profit]] / Tabla1[[#This Row],[Sales_Calculated]]</f>
        <v>7.1034538912891937E-2</v>
      </c>
      <c r="Q832" s="20">
        <f xml:space="preserve"> Tabla1[[#This Row],[Unit_Price]] * Tabla1[[#This Row],[Quantity_Sold]]</f>
        <v>19650.3</v>
      </c>
    </row>
    <row r="833" spans="1:17" x14ac:dyDescent="0.3">
      <c r="A833" s="2">
        <v>1004</v>
      </c>
      <c r="B833" s="1">
        <v>45197</v>
      </c>
      <c r="C833" s="8" t="s">
        <v>38</v>
      </c>
      <c r="D833" s="8" t="s">
        <v>25</v>
      </c>
      <c r="E833" s="6">
        <v>4936.1099999999997</v>
      </c>
      <c r="F833" s="2">
        <v>27</v>
      </c>
      <c r="G833" s="8" t="s">
        <v>29</v>
      </c>
      <c r="H833" s="6">
        <v>4354.6000000000004</v>
      </c>
      <c r="I833" s="6">
        <v>4820.2</v>
      </c>
      <c r="J833" s="8" t="s">
        <v>30</v>
      </c>
      <c r="K833" s="12">
        <v>0.14000000000000001</v>
      </c>
      <c r="L833" s="8" t="s">
        <v>31</v>
      </c>
      <c r="M833" s="8" t="s">
        <v>22</v>
      </c>
      <c r="N833" s="10" t="s">
        <v>39</v>
      </c>
      <c r="O833" s="17">
        <f xml:space="preserve"> (Tabla1[[#This Row],[Unit_Price]] - Tabla1[[#This Row],[Unit_Cost]] ) * Tabla1[[#This Row],[Quantity_Sold]]</f>
        <v>12571.199999999986</v>
      </c>
      <c r="P833" s="12">
        <f>Tabla1[[#This Row],[Profit]] / Tabla1[[#This Row],[Sales_Calculated]]</f>
        <v>9.659350234430096E-2</v>
      </c>
      <c r="Q833" s="20">
        <f xml:space="preserve"> Tabla1[[#This Row],[Unit_Price]] * Tabla1[[#This Row],[Quantity_Sold]]</f>
        <v>130145.4</v>
      </c>
    </row>
    <row r="834" spans="1:17" x14ac:dyDescent="0.3">
      <c r="A834" s="2">
        <v>1062</v>
      </c>
      <c r="B834" s="1">
        <v>45134</v>
      </c>
      <c r="C834" s="8" t="s">
        <v>24</v>
      </c>
      <c r="D834" s="8" t="s">
        <v>25</v>
      </c>
      <c r="E834" s="6">
        <v>4078.68</v>
      </c>
      <c r="F834" s="2">
        <v>44</v>
      </c>
      <c r="G834" s="8" t="s">
        <v>35</v>
      </c>
      <c r="H834" s="6">
        <v>987.74</v>
      </c>
      <c r="I834" s="6">
        <v>1462.19</v>
      </c>
      <c r="J834" s="8" t="s">
        <v>30</v>
      </c>
      <c r="K834" s="12">
        <v>0.24</v>
      </c>
      <c r="L834" s="8" t="s">
        <v>27</v>
      </c>
      <c r="M834" s="8" t="s">
        <v>19</v>
      </c>
      <c r="N834" s="10" t="s">
        <v>28</v>
      </c>
      <c r="O834" s="17">
        <f xml:space="preserve"> (Tabla1[[#This Row],[Unit_Price]] - Tabla1[[#This Row],[Unit_Cost]] ) * Tabla1[[#This Row],[Quantity_Sold]]</f>
        <v>20875.800000000003</v>
      </c>
      <c r="P834" s="12">
        <f>Tabla1[[#This Row],[Profit]] / Tabla1[[#This Row],[Sales_Calculated]]</f>
        <v>0.32447903487234903</v>
      </c>
      <c r="Q834" s="20">
        <f xml:space="preserve"> Tabla1[[#This Row],[Unit_Price]] * Tabla1[[#This Row],[Quantity_Sold]]</f>
        <v>64336.36</v>
      </c>
    </row>
    <row r="835" spans="1:17" x14ac:dyDescent="0.3">
      <c r="A835" s="2">
        <v>1065</v>
      </c>
      <c r="B835" s="1">
        <v>44953</v>
      </c>
      <c r="C835" s="8" t="s">
        <v>14</v>
      </c>
      <c r="D835" s="8" t="s">
        <v>25</v>
      </c>
      <c r="E835" s="6">
        <v>1621.54</v>
      </c>
      <c r="F835" s="2">
        <v>12</v>
      </c>
      <c r="G835" s="8" t="s">
        <v>35</v>
      </c>
      <c r="H835" s="6">
        <v>2035.68</v>
      </c>
      <c r="I835" s="6">
        <v>2079.64</v>
      </c>
      <c r="J835" s="8" t="s">
        <v>17</v>
      </c>
      <c r="K835" s="12">
        <v>0.04</v>
      </c>
      <c r="L835" s="8" t="s">
        <v>18</v>
      </c>
      <c r="M835" s="8" t="s">
        <v>19</v>
      </c>
      <c r="N835" s="10" t="s">
        <v>32</v>
      </c>
      <c r="O835" s="17">
        <f xml:space="preserve"> (Tabla1[[#This Row],[Unit_Price]] - Tabla1[[#This Row],[Unit_Cost]] ) * Tabla1[[#This Row],[Quantity_Sold]]</f>
        <v>527.51999999999771</v>
      </c>
      <c r="P835" s="12">
        <f>Tabla1[[#This Row],[Profit]] / Tabla1[[#This Row],[Sales_Calculated]]</f>
        <v>2.1138273932026604E-2</v>
      </c>
      <c r="Q835" s="20">
        <f xml:space="preserve"> Tabla1[[#This Row],[Unit_Price]] * Tabla1[[#This Row],[Quantity_Sold]]</f>
        <v>24955.68</v>
      </c>
    </row>
    <row r="836" spans="1:17" x14ac:dyDescent="0.3">
      <c r="A836" s="2">
        <v>1032</v>
      </c>
      <c r="B836" s="1">
        <v>44998</v>
      </c>
      <c r="C836" s="8" t="s">
        <v>42</v>
      </c>
      <c r="D836" s="8" t="s">
        <v>15</v>
      </c>
      <c r="E836" s="6">
        <v>5768.81</v>
      </c>
      <c r="F836" s="2">
        <v>20</v>
      </c>
      <c r="G836" s="8" t="s">
        <v>35</v>
      </c>
      <c r="H836" s="6">
        <v>4741.59</v>
      </c>
      <c r="I836" s="6">
        <v>4975.2299999999996</v>
      </c>
      <c r="J836" s="8" t="s">
        <v>30</v>
      </c>
      <c r="K836" s="12">
        <v>0.09</v>
      </c>
      <c r="L836" s="8" t="s">
        <v>31</v>
      </c>
      <c r="M836" s="8" t="s">
        <v>19</v>
      </c>
      <c r="N836" s="10" t="s">
        <v>49</v>
      </c>
      <c r="O836" s="17">
        <f xml:space="preserve"> (Tabla1[[#This Row],[Unit_Price]] - Tabla1[[#This Row],[Unit_Cost]] ) * Tabla1[[#This Row],[Quantity_Sold]]</f>
        <v>4672.7999999999884</v>
      </c>
      <c r="P836" s="12">
        <f>Tabla1[[#This Row],[Profit]] / Tabla1[[#This Row],[Sales_Calculated]]</f>
        <v>4.6960643025548456E-2</v>
      </c>
      <c r="Q836" s="20">
        <f xml:space="preserve"> Tabla1[[#This Row],[Unit_Price]] * Tabla1[[#This Row],[Quantity_Sold]]</f>
        <v>99504.599999999991</v>
      </c>
    </row>
    <row r="837" spans="1:17" x14ac:dyDescent="0.3">
      <c r="A837" s="2">
        <v>1034</v>
      </c>
      <c r="B837" s="1">
        <v>44986</v>
      </c>
      <c r="C837" s="8" t="s">
        <v>33</v>
      </c>
      <c r="D837" s="8" t="s">
        <v>21</v>
      </c>
      <c r="E837" s="6">
        <v>2842.42</v>
      </c>
      <c r="F837" s="2">
        <v>45</v>
      </c>
      <c r="G837" s="8" t="s">
        <v>26</v>
      </c>
      <c r="H837" s="6">
        <v>2013.12</v>
      </c>
      <c r="I837" s="6">
        <v>2321.87</v>
      </c>
      <c r="J837" s="8" t="s">
        <v>30</v>
      </c>
      <c r="K837" s="12">
        <v>0.18</v>
      </c>
      <c r="L837" s="8" t="s">
        <v>27</v>
      </c>
      <c r="M837" s="8" t="s">
        <v>22</v>
      </c>
      <c r="N837" s="10" t="s">
        <v>37</v>
      </c>
      <c r="O837" s="17">
        <f xml:space="preserve"> (Tabla1[[#This Row],[Unit_Price]] - Tabla1[[#This Row],[Unit_Cost]] ) * Tabla1[[#This Row],[Quantity_Sold]]</f>
        <v>13893.75</v>
      </c>
      <c r="P837" s="12">
        <f>Tabla1[[#This Row],[Profit]] / Tabla1[[#This Row],[Sales_Calculated]]</f>
        <v>0.13297471434662578</v>
      </c>
      <c r="Q837" s="20">
        <f xml:space="preserve"> Tabla1[[#This Row],[Unit_Price]] * Tabla1[[#This Row],[Quantity_Sold]]</f>
        <v>104484.15</v>
      </c>
    </row>
    <row r="838" spans="1:17" x14ac:dyDescent="0.3">
      <c r="A838" s="2">
        <v>1092</v>
      </c>
      <c r="B838" s="1">
        <v>45071</v>
      </c>
      <c r="C838" s="8" t="s">
        <v>14</v>
      </c>
      <c r="D838" s="8" t="s">
        <v>34</v>
      </c>
      <c r="E838" s="6">
        <v>9220.94</v>
      </c>
      <c r="F838" s="2">
        <v>20</v>
      </c>
      <c r="G838" s="8" t="s">
        <v>26</v>
      </c>
      <c r="H838" s="6">
        <v>668.11</v>
      </c>
      <c r="I838" s="6">
        <v>803.49</v>
      </c>
      <c r="J838" s="8" t="s">
        <v>30</v>
      </c>
      <c r="K838" s="12">
        <v>0.21</v>
      </c>
      <c r="L838" s="8" t="s">
        <v>27</v>
      </c>
      <c r="M838" s="8" t="s">
        <v>19</v>
      </c>
      <c r="N838" s="10" t="s">
        <v>46</v>
      </c>
      <c r="O838" s="17">
        <f xml:space="preserve"> (Tabla1[[#This Row],[Unit_Price]] - Tabla1[[#This Row],[Unit_Cost]] ) * Tabla1[[#This Row],[Quantity_Sold]]</f>
        <v>2707.6</v>
      </c>
      <c r="P838" s="12">
        <f>Tabla1[[#This Row],[Profit]] / Tabla1[[#This Row],[Sales_Calculated]]</f>
        <v>0.16848996253842613</v>
      </c>
      <c r="Q838" s="20">
        <f xml:space="preserve"> Tabla1[[#This Row],[Unit_Price]] * Tabla1[[#This Row],[Quantity_Sold]]</f>
        <v>16069.8</v>
      </c>
    </row>
    <row r="839" spans="1:17" x14ac:dyDescent="0.3">
      <c r="A839" s="2">
        <v>1095</v>
      </c>
      <c r="B839" s="1">
        <v>45019</v>
      </c>
      <c r="C839" s="8" t="s">
        <v>33</v>
      </c>
      <c r="D839" s="8" t="s">
        <v>34</v>
      </c>
      <c r="E839" s="6">
        <v>5873.59</v>
      </c>
      <c r="F839" s="2">
        <v>9</v>
      </c>
      <c r="G839" s="8" t="s">
        <v>26</v>
      </c>
      <c r="H839" s="6">
        <v>2650.95</v>
      </c>
      <c r="I839" s="6">
        <v>2860.4199999999901</v>
      </c>
      <c r="J839" s="8" t="s">
        <v>30</v>
      </c>
      <c r="K839" s="12">
        <v>0.12</v>
      </c>
      <c r="L839" s="8" t="s">
        <v>18</v>
      </c>
      <c r="M839" s="8" t="s">
        <v>22</v>
      </c>
      <c r="N839" s="10" t="s">
        <v>36</v>
      </c>
      <c r="O839" s="17">
        <f xml:space="preserve"> (Tabla1[[#This Row],[Unit_Price]] - Tabla1[[#This Row],[Unit_Cost]] ) * Tabla1[[#This Row],[Quantity_Sold]]</f>
        <v>1885.2299999999123</v>
      </c>
      <c r="P839" s="12">
        <f>Tabla1[[#This Row],[Profit]] / Tabla1[[#This Row],[Sales_Calculated]]</f>
        <v>7.3230504611207781E-2</v>
      </c>
      <c r="Q839" s="20">
        <f xml:space="preserve"> Tabla1[[#This Row],[Unit_Price]] * Tabla1[[#This Row],[Quantity_Sold]]</f>
        <v>25743.779999999912</v>
      </c>
    </row>
    <row r="840" spans="1:17" x14ac:dyDescent="0.3">
      <c r="A840" s="2">
        <v>1072</v>
      </c>
      <c r="B840" s="1">
        <v>45235</v>
      </c>
      <c r="C840" s="8" t="s">
        <v>24</v>
      </c>
      <c r="D840" s="8" t="s">
        <v>21</v>
      </c>
      <c r="E840" s="6">
        <v>5969.12</v>
      </c>
      <c r="F840" s="2">
        <v>39</v>
      </c>
      <c r="G840" s="8" t="s">
        <v>29</v>
      </c>
      <c r="H840" s="6">
        <v>591.98</v>
      </c>
      <c r="I840" s="6">
        <v>934.04</v>
      </c>
      <c r="J840" s="8" t="s">
        <v>30</v>
      </c>
      <c r="K840" s="12">
        <v>0.26</v>
      </c>
      <c r="L840" s="8" t="s">
        <v>27</v>
      </c>
      <c r="M840" s="8" t="s">
        <v>22</v>
      </c>
      <c r="N840" s="10" t="s">
        <v>47</v>
      </c>
      <c r="O840" s="17">
        <f xml:space="preserve"> (Tabla1[[#This Row],[Unit_Price]] - Tabla1[[#This Row],[Unit_Cost]] ) * Tabla1[[#This Row],[Quantity_Sold]]</f>
        <v>13340.339999999998</v>
      </c>
      <c r="P840" s="12">
        <f>Tabla1[[#This Row],[Profit]] / Tabla1[[#This Row],[Sales_Calculated]]</f>
        <v>0.3662155796325639</v>
      </c>
      <c r="Q840" s="20">
        <f xml:space="preserve"> Tabla1[[#This Row],[Unit_Price]] * Tabla1[[#This Row],[Quantity_Sold]]</f>
        <v>36427.56</v>
      </c>
    </row>
    <row r="841" spans="1:17" x14ac:dyDescent="0.3">
      <c r="A841" s="2">
        <v>1039</v>
      </c>
      <c r="B841" s="1">
        <v>44934</v>
      </c>
      <c r="C841" s="8" t="s">
        <v>38</v>
      </c>
      <c r="D841" s="8" t="s">
        <v>25</v>
      </c>
      <c r="E841" s="6">
        <v>3613.75</v>
      </c>
      <c r="F841" s="2">
        <v>4</v>
      </c>
      <c r="G841" s="8" t="s">
        <v>35</v>
      </c>
      <c r="H841" s="6">
        <v>1054.1199999999999</v>
      </c>
      <c r="I841" s="6">
        <v>1175.21999999999</v>
      </c>
      <c r="J841" s="8" t="s">
        <v>17</v>
      </c>
      <c r="K841" s="12">
        <v>0.12</v>
      </c>
      <c r="L841" s="8" t="s">
        <v>27</v>
      </c>
      <c r="M841" s="8" t="s">
        <v>22</v>
      </c>
      <c r="N841" s="10" t="s">
        <v>39</v>
      </c>
      <c r="O841" s="17">
        <f xml:space="preserve"> (Tabla1[[#This Row],[Unit_Price]] - Tabla1[[#This Row],[Unit_Cost]] ) * Tabla1[[#This Row],[Quantity_Sold]]</f>
        <v>484.39999999996053</v>
      </c>
      <c r="P841" s="12">
        <f>Tabla1[[#This Row],[Profit]] / Tabla1[[#This Row],[Sales_Calculated]]</f>
        <v>0.10304453634212417</v>
      </c>
      <c r="Q841" s="20">
        <f xml:space="preserve"> Tabla1[[#This Row],[Unit_Price]] * Tabla1[[#This Row],[Quantity_Sold]]</f>
        <v>4700.8799999999601</v>
      </c>
    </row>
    <row r="842" spans="1:17" x14ac:dyDescent="0.3">
      <c r="A842" s="2">
        <v>1026</v>
      </c>
      <c r="B842" s="1">
        <v>45005</v>
      </c>
      <c r="C842" s="8" t="s">
        <v>14</v>
      </c>
      <c r="D842" s="8" t="s">
        <v>34</v>
      </c>
      <c r="E842" s="6">
        <v>614.69000000000005</v>
      </c>
      <c r="F842" s="2">
        <v>19</v>
      </c>
      <c r="G842" s="8" t="s">
        <v>35</v>
      </c>
      <c r="H842" s="6">
        <v>4991.68</v>
      </c>
      <c r="I842" s="6">
        <v>5296.65</v>
      </c>
      <c r="J842" s="8" t="s">
        <v>30</v>
      </c>
      <c r="K842" s="12">
        <v>0.12</v>
      </c>
      <c r="L842" s="8" t="s">
        <v>27</v>
      </c>
      <c r="M842" s="8" t="s">
        <v>19</v>
      </c>
      <c r="N842" s="10" t="s">
        <v>46</v>
      </c>
      <c r="O842" s="17">
        <f xml:space="preserve"> (Tabla1[[#This Row],[Unit_Price]] - Tabla1[[#This Row],[Unit_Cost]] ) * Tabla1[[#This Row],[Quantity_Sold]]</f>
        <v>5794.4299999999876</v>
      </c>
      <c r="P842" s="12">
        <f>Tabla1[[#This Row],[Profit]] / Tabla1[[#This Row],[Sales_Calculated]]</f>
        <v>5.7577903014169214E-2</v>
      </c>
      <c r="Q842" s="20">
        <f xml:space="preserve"> Tabla1[[#This Row],[Unit_Price]] * Tabla1[[#This Row],[Quantity_Sold]]</f>
        <v>100636.34999999999</v>
      </c>
    </row>
    <row r="843" spans="1:17" x14ac:dyDescent="0.3">
      <c r="A843" s="2">
        <v>1034</v>
      </c>
      <c r="B843" s="1">
        <v>44953</v>
      </c>
      <c r="C843" s="8" t="s">
        <v>14</v>
      </c>
      <c r="D843" s="8" t="s">
        <v>34</v>
      </c>
      <c r="E843" s="6">
        <v>414.26</v>
      </c>
      <c r="F843" s="2">
        <v>38</v>
      </c>
      <c r="G843" s="8" t="s">
        <v>26</v>
      </c>
      <c r="H843" s="6">
        <v>2729.75</v>
      </c>
      <c r="I843" s="6">
        <v>3081.5</v>
      </c>
      <c r="J843" s="8" t="s">
        <v>30</v>
      </c>
      <c r="K843" s="12">
        <v>0.01</v>
      </c>
      <c r="L843" s="8" t="s">
        <v>27</v>
      </c>
      <c r="M843" s="8" t="s">
        <v>19</v>
      </c>
      <c r="N843" s="10" t="s">
        <v>46</v>
      </c>
      <c r="O843" s="17">
        <f xml:space="preserve"> (Tabla1[[#This Row],[Unit_Price]] - Tabla1[[#This Row],[Unit_Cost]] ) * Tabla1[[#This Row],[Quantity_Sold]]</f>
        <v>13366.5</v>
      </c>
      <c r="P843" s="12">
        <f>Tabla1[[#This Row],[Profit]] / Tabla1[[#This Row],[Sales_Calculated]]</f>
        <v>0.11414895343177024</v>
      </c>
      <c r="Q843" s="20">
        <f xml:space="preserve"> Tabla1[[#This Row],[Unit_Price]] * Tabla1[[#This Row],[Quantity_Sold]]</f>
        <v>117097</v>
      </c>
    </row>
    <row r="844" spans="1:17" x14ac:dyDescent="0.3">
      <c r="A844" s="2">
        <v>1054</v>
      </c>
      <c r="B844" s="1">
        <v>45100</v>
      </c>
      <c r="C844" s="8" t="s">
        <v>24</v>
      </c>
      <c r="D844" s="8" t="s">
        <v>21</v>
      </c>
      <c r="E844" s="6">
        <v>4291.0200000000004</v>
      </c>
      <c r="F844" s="2">
        <v>27</v>
      </c>
      <c r="G844" s="8" t="s">
        <v>35</v>
      </c>
      <c r="H844" s="6">
        <v>1456.09</v>
      </c>
      <c r="I844" s="6">
        <v>1510.4299999999901</v>
      </c>
      <c r="J844" s="8" t="s">
        <v>17</v>
      </c>
      <c r="K844" s="12">
        <v>0.17</v>
      </c>
      <c r="L844" s="8" t="s">
        <v>18</v>
      </c>
      <c r="M844" s="8" t="s">
        <v>22</v>
      </c>
      <c r="N844" s="10" t="s">
        <v>47</v>
      </c>
      <c r="O844" s="17">
        <f xml:space="preserve"> (Tabla1[[#This Row],[Unit_Price]] - Tabla1[[#This Row],[Unit_Cost]] ) * Tabla1[[#This Row],[Quantity_Sold]]</f>
        <v>1467.1799999997338</v>
      </c>
      <c r="P844" s="12">
        <f>Tabla1[[#This Row],[Profit]] / Tabla1[[#This Row],[Sales_Calculated]]</f>
        <v>3.5976510000457151E-2</v>
      </c>
      <c r="Q844" s="20">
        <f xml:space="preserve"> Tabla1[[#This Row],[Unit_Price]] * Tabla1[[#This Row],[Quantity_Sold]]</f>
        <v>40781.609999999731</v>
      </c>
    </row>
    <row r="845" spans="1:17" x14ac:dyDescent="0.3">
      <c r="A845" s="2">
        <v>1003</v>
      </c>
      <c r="B845" s="1">
        <v>44976</v>
      </c>
      <c r="C845" s="8" t="s">
        <v>42</v>
      </c>
      <c r="D845" s="8" t="s">
        <v>34</v>
      </c>
      <c r="E845" s="6">
        <v>937.2</v>
      </c>
      <c r="F845" s="2">
        <v>45</v>
      </c>
      <c r="G845" s="8" t="s">
        <v>35</v>
      </c>
      <c r="H845" s="6">
        <v>4974.1400000000003</v>
      </c>
      <c r="I845" s="6">
        <v>5227.93</v>
      </c>
      <c r="J845" s="8" t="s">
        <v>30</v>
      </c>
      <c r="K845" s="12">
        <v>0.21</v>
      </c>
      <c r="L845" s="8" t="s">
        <v>27</v>
      </c>
      <c r="M845" s="8" t="s">
        <v>19</v>
      </c>
      <c r="N845" s="10" t="s">
        <v>52</v>
      </c>
      <c r="O845" s="17">
        <f xml:space="preserve"> (Tabla1[[#This Row],[Unit_Price]] - Tabla1[[#This Row],[Unit_Cost]] ) * Tabla1[[#This Row],[Quantity_Sold]]</f>
        <v>11420.55</v>
      </c>
      <c r="P845" s="12">
        <f>Tabla1[[#This Row],[Profit]] / Tabla1[[#This Row],[Sales_Calculated]]</f>
        <v>4.8545026425372943E-2</v>
      </c>
      <c r="Q845" s="20">
        <f xml:space="preserve"> Tabla1[[#This Row],[Unit_Price]] * Tabla1[[#This Row],[Quantity_Sold]]</f>
        <v>235256.85</v>
      </c>
    </row>
    <row r="846" spans="1:17" x14ac:dyDescent="0.3">
      <c r="A846" s="2">
        <v>1050</v>
      </c>
      <c r="B846" s="1">
        <v>45125</v>
      </c>
      <c r="C846" s="8" t="s">
        <v>38</v>
      </c>
      <c r="D846" s="8" t="s">
        <v>25</v>
      </c>
      <c r="E846" s="6">
        <v>6107.78</v>
      </c>
      <c r="F846" s="2">
        <v>43</v>
      </c>
      <c r="G846" s="8" t="s">
        <v>16</v>
      </c>
      <c r="H846" s="6">
        <v>4834.47</v>
      </c>
      <c r="I846" s="6">
        <v>4973.38</v>
      </c>
      <c r="J846" s="8" t="s">
        <v>17</v>
      </c>
      <c r="K846" s="12">
        <v>0.03</v>
      </c>
      <c r="L846" s="8" t="s">
        <v>27</v>
      </c>
      <c r="M846" s="8" t="s">
        <v>19</v>
      </c>
      <c r="N846" s="10" t="s">
        <v>39</v>
      </c>
      <c r="O846" s="17">
        <f xml:space="preserve"> (Tabla1[[#This Row],[Unit_Price]] - Tabla1[[#This Row],[Unit_Cost]] ) * Tabla1[[#This Row],[Quantity_Sold]]</f>
        <v>5973.1299999999937</v>
      </c>
      <c r="P846" s="12">
        <f>Tabla1[[#This Row],[Profit]] / Tabla1[[#This Row],[Sales_Calculated]]</f>
        <v>2.7930703063107958E-2</v>
      </c>
      <c r="Q846" s="20">
        <f xml:space="preserve"> Tabla1[[#This Row],[Unit_Price]] * Tabla1[[#This Row],[Quantity_Sold]]</f>
        <v>213855.34</v>
      </c>
    </row>
    <row r="847" spans="1:17" x14ac:dyDescent="0.3">
      <c r="A847" s="2">
        <v>1012</v>
      </c>
      <c r="B847" s="1">
        <v>45275</v>
      </c>
      <c r="C847" s="8" t="s">
        <v>14</v>
      </c>
      <c r="D847" s="8" t="s">
        <v>21</v>
      </c>
      <c r="E847" s="6">
        <v>8821.6299999999992</v>
      </c>
      <c r="F847" s="2">
        <v>13</v>
      </c>
      <c r="G847" s="8" t="s">
        <v>35</v>
      </c>
      <c r="H847" s="6">
        <v>2231.66</v>
      </c>
      <c r="I847" s="6">
        <v>2596.6099999999901</v>
      </c>
      <c r="J847" s="8" t="s">
        <v>17</v>
      </c>
      <c r="K847" s="12">
        <v>0.09</v>
      </c>
      <c r="L847" s="8" t="s">
        <v>27</v>
      </c>
      <c r="M847" s="8" t="s">
        <v>22</v>
      </c>
      <c r="N847" s="10" t="s">
        <v>23</v>
      </c>
      <c r="O847" s="17">
        <f xml:space="preserve"> (Tabla1[[#This Row],[Unit_Price]] - Tabla1[[#This Row],[Unit_Cost]] ) * Tabla1[[#This Row],[Quantity_Sold]]</f>
        <v>4744.349999999873</v>
      </c>
      <c r="P847" s="12">
        <f>Tabla1[[#This Row],[Profit]] / Tabla1[[#This Row],[Sales_Calculated]]</f>
        <v>0.14054863841700974</v>
      </c>
      <c r="Q847" s="20">
        <f xml:space="preserve"> Tabla1[[#This Row],[Unit_Price]] * Tabla1[[#This Row],[Quantity_Sold]]</f>
        <v>33755.929999999869</v>
      </c>
    </row>
    <row r="848" spans="1:17" x14ac:dyDescent="0.3">
      <c r="A848" s="2">
        <v>1065</v>
      </c>
      <c r="B848" s="1">
        <v>45107</v>
      </c>
      <c r="C848" s="8" t="s">
        <v>38</v>
      </c>
      <c r="D848" s="8" t="s">
        <v>25</v>
      </c>
      <c r="E848" s="6">
        <v>8840.86</v>
      </c>
      <c r="F848" s="2">
        <v>13</v>
      </c>
      <c r="G848" s="8" t="s">
        <v>16</v>
      </c>
      <c r="H848" s="6">
        <v>1339</v>
      </c>
      <c r="I848" s="6">
        <v>1441.88</v>
      </c>
      <c r="J848" s="8" t="s">
        <v>17</v>
      </c>
      <c r="K848" s="12">
        <v>0.23</v>
      </c>
      <c r="L848" s="8" t="s">
        <v>31</v>
      </c>
      <c r="M848" s="8" t="s">
        <v>22</v>
      </c>
      <c r="N848" s="10" t="s">
        <v>39</v>
      </c>
      <c r="O848" s="17">
        <f xml:space="preserve"> (Tabla1[[#This Row],[Unit_Price]] - Tabla1[[#This Row],[Unit_Cost]] ) * Tabla1[[#This Row],[Quantity_Sold]]</f>
        <v>1337.4400000000014</v>
      </c>
      <c r="P848" s="12">
        <f>Tabla1[[#This Row],[Profit]] / Tabla1[[#This Row],[Sales_Calculated]]</f>
        <v>7.1351291369600861E-2</v>
      </c>
      <c r="Q848" s="20">
        <f xml:space="preserve"> Tabla1[[#This Row],[Unit_Price]] * Tabla1[[#This Row],[Quantity_Sold]]</f>
        <v>18744.440000000002</v>
      </c>
    </row>
    <row r="849" spans="1:17" x14ac:dyDescent="0.3">
      <c r="A849" s="2">
        <v>1054</v>
      </c>
      <c r="B849" s="1">
        <v>44950</v>
      </c>
      <c r="C849" s="8" t="s">
        <v>14</v>
      </c>
      <c r="D849" s="8" t="s">
        <v>34</v>
      </c>
      <c r="E849" s="6">
        <v>6624.55</v>
      </c>
      <c r="F849" s="2">
        <v>22</v>
      </c>
      <c r="G849" s="8" t="s">
        <v>35</v>
      </c>
      <c r="H849" s="6">
        <v>4200.08</v>
      </c>
      <c r="I849" s="6">
        <v>4647.28</v>
      </c>
      <c r="J849" s="8" t="s">
        <v>17</v>
      </c>
      <c r="K849" s="12">
        <v>0.11</v>
      </c>
      <c r="L849" s="8" t="s">
        <v>18</v>
      </c>
      <c r="M849" s="8" t="s">
        <v>19</v>
      </c>
      <c r="N849" s="10" t="s">
        <v>46</v>
      </c>
      <c r="O849" s="17">
        <f xml:space="preserve"> (Tabla1[[#This Row],[Unit_Price]] - Tabla1[[#This Row],[Unit_Cost]] ) * Tabla1[[#This Row],[Quantity_Sold]]</f>
        <v>9838.399999999996</v>
      </c>
      <c r="P849" s="12">
        <f>Tabla1[[#This Row],[Profit]] / Tabla1[[#This Row],[Sales_Calculated]]</f>
        <v>9.6228331411061921E-2</v>
      </c>
      <c r="Q849" s="20">
        <f xml:space="preserve"> Tabla1[[#This Row],[Unit_Price]] * Tabla1[[#This Row],[Quantity_Sold]]</f>
        <v>102240.15999999999</v>
      </c>
    </row>
    <row r="850" spans="1:17" x14ac:dyDescent="0.3">
      <c r="A850" s="2">
        <v>1005</v>
      </c>
      <c r="B850" s="1">
        <v>45242</v>
      </c>
      <c r="C850" s="8" t="s">
        <v>38</v>
      </c>
      <c r="D850" s="8" t="s">
        <v>34</v>
      </c>
      <c r="E850" s="6">
        <v>2191.1999999999998</v>
      </c>
      <c r="F850" s="2">
        <v>28</v>
      </c>
      <c r="G850" s="8" t="s">
        <v>29</v>
      </c>
      <c r="H850" s="6">
        <v>3592.32</v>
      </c>
      <c r="I850" s="6">
        <v>3813.48</v>
      </c>
      <c r="J850" s="8" t="s">
        <v>30</v>
      </c>
      <c r="K850" s="12">
        <v>7.0000000000000007E-2</v>
      </c>
      <c r="L850" s="8" t="s">
        <v>31</v>
      </c>
      <c r="M850" s="8" t="s">
        <v>22</v>
      </c>
      <c r="N850" s="10" t="s">
        <v>48</v>
      </c>
      <c r="O850" s="17">
        <f xml:space="preserve"> (Tabla1[[#This Row],[Unit_Price]] - Tabla1[[#This Row],[Unit_Cost]] ) * Tabla1[[#This Row],[Quantity_Sold]]</f>
        <v>6192.4799999999959</v>
      </c>
      <c r="P850" s="12">
        <f>Tabla1[[#This Row],[Profit]] / Tabla1[[#This Row],[Sales_Calculated]]</f>
        <v>5.7994272947543939E-2</v>
      </c>
      <c r="Q850" s="20">
        <f xml:space="preserve"> Tabla1[[#This Row],[Unit_Price]] * Tabla1[[#This Row],[Quantity_Sold]]</f>
        <v>106777.44</v>
      </c>
    </row>
    <row r="851" spans="1:17" x14ac:dyDescent="0.3">
      <c r="A851" s="2">
        <v>1094</v>
      </c>
      <c r="B851" s="1">
        <v>44972</v>
      </c>
      <c r="C851" s="8" t="s">
        <v>33</v>
      </c>
      <c r="D851" s="8" t="s">
        <v>25</v>
      </c>
      <c r="E851" s="6">
        <v>8643.67</v>
      </c>
      <c r="F851" s="2">
        <v>47</v>
      </c>
      <c r="G851" s="8" t="s">
        <v>26</v>
      </c>
      <c r="H851" s="6">
        <v>3450.36</v>
      </c>
      <c r="I851" s="6">
        <v>3557.38</v>
      </c>
      <c r="J851" s="8" t="s">
        <v>30</v>
      </c>
      <c r="K851" s="12">
        <v>0.2</v>
      </c>
      <c r="L851" s="8" t="s">
        <v>31</v>
      </c>
      <c r="M851" s="8" t="s">
        <v>19</v>
      </c>
      <c r="N851" s="10" t="s">
        <v>44</v>
      </c>
      <c r="O851" s="17">
        <f xml:space="preserve"> (Tabla1[[#This Row],[Unit_Price]] - Tabla1[[#This Row],[Unit_Cost]] ) * Tabla1[[#This Row],[Quantity_Sold]]</f>
        <v>5029.9399999999987</v>
      </c>
      <c r="P851" s="12">
        <f>Tabla1[[#This Row],[Profit]] / Tabla1[[#This Row],[Sales_Calculated]]</f>
        <v>3.0083938179221777E-2</v>
      </c>
      <c r="Q851" s="20">
        <f xml:space="preserve"> Tabla1[[#This Row],[Unit_Price]] * Tabla1[[#This Row],[Quantity_Sold]]</f>
        <v>167196.86000000002</v>
      </c>
    </row>
    <row r="852" spans="1:17" x14ac:dyDescent="0.3">
      <c r="A852" s="2">
        <v>1094</v>
      </c>
      <c r="B852" s="1">
        <v>44941</v>
      </c>
      <c r="C852" s="8" t="s">
        <v>14</v>
      </c>
      <c r="D852" s="8" t="s">
        <v>15</v>
      </c>
      <c r="E852" s="6">
        <v>8872.33</v>
      </c>
      <c r="F852" s="2">
        <v>45</v>
      </c>
      <c r="G852" s="8" t="s">
        <v>16</v>
      </c>
      <c r="H852" s="6">
        <v>4470.91</v>
      </c>
      <c r="I852" s="6">
        <v>4695.54</v>
      </c>
      <c r="J852" s="8" t="s">
        <v>17</v>
      </c>
      <c r="K852" s="12">
        <v>0.06</v>
      </c>
      <c r="L852" s="8" t="s">
        <v>18</v>
      </c>
      <c r="M852" s="8" t="s">
        <v>22</v>
      </c>
      <c r="N852" s="10" t="s">
        <v>20</v>
      </c>
      <c r="O852" s="17">
        <f xml:space="preserve"> (Tabla1[[#This Row],[Unit_Price]] - Tabla1[[#This Row],[Unit_Cost]] ) * Tabla1[[#This Row],[Quantity_Sold]]</f>
        <v>10108.350000000006</v>
      </c>
      <c r="P852" s="12">
        <f>Tabla1[[#This Row],[Profit]] / Tabla1[[#This Row],[Sales_Calculated]]</f>
        <v>4.7839013191241078E-2</v>
      </c>
      <c r="Q852" s="20">
        <f xml:space="preserve"> Tabla1[[#This Row],[Unit_Price]] * Tabla1[[#This Row],[Quantity_Sold]]</f>
        <v>211299.3</v>
      </c>
    </row>
    <row r="853" spans="1:17" x14ac:dyDescent="0.3">
      <c r="A853" s="2">
        <v>1057</v>
      </c>
      <c r="B853" s="1">
        <v>45079</v>
      </c>
      <c r="C853" s="8" t="s">
        <v>38</v>
      </c>
      <c r="D853" s="8" t="s">
        <v>34</v>
      </c>
      <c r="E853" s="6">
        <v>2046.87</v>
      </c>
      <c r="F853" s="2">
        <v>22</v>
      </c>
      <c r="G853" s="8" t="s">
        <v>26</v>
      </c>
      <c r="H853" s="6">
        <v>3462.61</v>
      </c>
      <c r="I853" s="6">
        <v>3672.89</v>
      </c>
      <c r="J853" s="8" t="s">
        <v>17</v>
      </c>
      <c r="K853" s="12">
        <v>0.27</v>
      </c>
      <c r="L853" s="8" t="s">
        <v>31</v>
      </c>
      <c r="M853" s="8" t="s">
        <v>19</v>
      </c>
      <c r="N853" s="10" t="s">
        <v>48</v>
      </c>
      <c r="O853" s="17">
        <f xml:space="preserve"> (Tabla1[[#This Row],[Unit_Price]] - Tabla1[[#This Row],[Unit_Cost]] ) * Tabla1[[#This Row],[Quantity_Sold]]</f>
        <v>4626.1599999999944</v>
      </c>
      <c r="P853" s="12">
        <f>Tabla1[[#This Row],[Profit]] / Tabla1[[#This Row],[Sales_Calculated]]</f>
        <v>5.7251918788746664E-2</v>
      </c>
      <c r="Q853" s="20">
        <f xml:space="preserve"> Tabla1[[#This Row],[Unit_Price]] * Tabla1[[#This Row],[Quantity_Sold]]</f>
        <v>80803.58</v>
      </c>
    </row>
    <row r="854" spans="1:17" x14ac:dyDescent="0.3">
      <c r="A854" s="2">
        <v>1017</v>
      </c>
      <c r="B854" s="1">
        <v>45148</v>
      </c>
      <c r="C854" s="8" t="s">
        <v>42</v>
      </c>
      <c r="D854" s="8" t="s">
        <v>15</v>
      </c>
      <c r="E854" s="6">
        <v>7400.52</v>
      </c>
      <c r="F854" s="2">
        <v>43</v>
      </c>
      <c r="G854" s="8" t="s">
        <v>16</v>
      </c>
      <c r="H854" s="6">
        <v>1454.8</v>
      </c>
      <c r="I854" s="6">
        <v>1674.97</v>
      </c>
      <c r="J854" s="8" t="s">
        <v>30</v>
      </c>
      <c r="K854" s="12">
        <v>0.03</v>
      </c>
      <c r="L854" s="8" t="s">
        <v>31</v>
      </c>
      <c r="M854" s="8" t="s">
        <v>19</v>
      </c>
      <c r="N854" s="10" t="s">
        <v>49</v>
      </c>
      <c r="O854" s="17">
        <f xml:space="preserve"> (Tabla1[[#This Row],[Unit_Price]] - Tabla1[[#This Row],[Unit_Cost]] ) * Tabla1[[#This Row],[Quantity_Sold]]</f>
        <v>9467.3100000000031</v>
      </c>
      <c r="P854" s="12">
        <f>Tabla1[[#This Row],[Profit]] / Tabla1[[#This Row],[Sales_Calculated]]</f>
        <v>0.13144713039636535</v>
      </c>
      <c r="Q854" s="20">
        <f xml:space="preserve"> Tabla1[[#This Row],[Unit_Price]] * Tabla1[[#This Row],[Quantity_Sold]]</f>
        <v>72023.710000000006</v>
      </c>
    </row>
    <row r="855" spans="1:17" x14ac:dyDescent="0.3">
      <c r="A855" s="2">
        <v>1047</v>
      </c>
      <c r="B855" s="1">
        <v>45132</v>
      </c>
      <c r="C855" s="8" t="s">
        <v>33</v>
      </c>
      <c r="D855" s="8" t="s">
        <v>34</v>
      </c>
      <c r="E855" s="6">
        <v>2936.54</v>
      </c>
      <c r="F855" s="2">
        <v>19</v>
      </c>
      <c r="G855" s="8" t="s">
        <v>16</v>
      </c>
      <c r="H855" s="6">
        <v>3484.62</v>
      </c>
      <c r="I855" s="6">
        <v>3781.5499999999902</v>
      </c>
      <c r="J855" s="8" t="s">
        <v>17</v>
      </c>
      <c r="K855" s="12">
        <v>0.21</v>
      </c>
      <c r="L855" s="8" t="s">
        <v>31</v>
      </c>
      <c r="M855" s="8" t="s">
        <v>22</v>
      </c>
      <c r="N855" s="10" t="s">
        <v>36</v>
      </c>
      <c r="O855" s="17">
        <f xml:space="preserve"> (Tabla1[[#This Row],[Unit_Price]] - Tabla1[[#This Row],[Unit_Cost]] ) * Tabla1[[#This Row],[Quantity_Sold]]</f>
        <v>5641.6699999998154</v>
      </c>
      <c r="P855" s="12">
        <f>Tabla1[[#This Row],[Profit]] / Tabla1[[#This Row],[Sales_Calculated]]</f>
        <v>7.8520712406286067E-2</v>
      </c>
      <c r="Q855" s="20">
        <f xml:space="preserve"> Tabla1[[#This Row],[Unit_Price]] * Tabla1[[#This Row],[Quantity_Sold]]</f>
        <v>71849.449999999808</v>
      </c>
    </row>
    <row r="856" spans="1:17" x14ac:dyDescent="0.3">
      <c r="A856" s="2">
        <v>1023</v>
      </c>
      <c r="B856" s="1">
        <v>45199</v>
      </c>
      <c r="C856" s="8" t="s">
        <v>33</v>
      </c>
      <c r="D856" s="8" t="s">
        <v>15</v>
      </c>
      <c r="E856" s="6">
        <v>8046.14</v>
      </c>
      <c r="F856" s="2">
        <v>8</v>
      </c>
      <c r="G856" s="8" t="s">
        <v>16</v>
      </c>
      <c r="H856" s="6">
        <v>1563.78</v>
      </c>
      <c r="I856" s="6">
        <v>1829.1599999999901</v>
      </c>
      <c r="J856" s="8" t="s">
        <v>17</v>
      </c>
      <c r="K856" s="12">
        <v>0.15</v>
      </c>
      <c r="L856" s="8" t="s">
        <v>18</v>
      </c>
      <c r="M856" s="8" t="s">
        <v>19</v>
      </c>
      <c r="N856" s="10" t="s">
        <v>53</v>
      </c>
      <c r="O856" s="17">
        <f xml:space="preserve"> (Tabla1[[#This Row],[Unit_Price]] - Tabla1[[#This Row],[Unit_Cost]] ) * Tabla1[[#This Row],[Quantity_Sold]]</f>
        <v>2123.0399999999208</v>
      </c>
      <c r="P856" s="12">
        <f>Tabla1[[#This Row],[Profit]] / Tabla1[[#This Row],[Sales_Calculated]]</f>
        <v>0.14508298891293903</v>
      </c>
      <c r="Q856" s="20">
        <f xml:space="preserve"> Tabla1[[#This Row],[Unit_Price]] * Tabla1[[#This Row],[Quantity_Sold]]</f>
        <v>14633.279999999921</v>
      </c>
    </row>
    <row r="857" spans="1:17" x14ac:dyDescent="0.3">
      <c r="A857" s="2">
        <v>1079</v>
      </c>
      <c r="B857" s="1">
        <v>45162</v>
      </c>
      <c r="C857" s="8" t="s">
        <v>42</v>
      </c>
      <c r="D857" s="8" t="s">
        <v>15</v>
      </c>
      <c r="E857" s="6">
        <v>9972.66</v>
      </c>
      <c r="F857" s="2">
        <v>8</v>
      </c>
      <c r="G857" s="8" t="s">
        <v>29</v>
      </c>
      <c r="H857" s="6">
        <v>3808.23</v>
      </c>
      <c r="I857" s="6">
        <v>3891.62</v>
      </c>
      <c r="J857" s="8" t="s">
        <v>17</v>
      </c>
      <c r="K857" s="12">
        <v>0.26</v>
      </c>
      <c r="L857" s="8" t="s">
        <v>27</v>
      </c>
      <c r="M857" s="8" t="s">
        <v>19</v>
      </c>
      <c r="N857" s="10" t="s">
        <v>49</v>
      </c>
      <c r="O857" s="17">
        <f xml:space="preserve"> (Tabla1[[#This Row],[Unit_Price]] - Tabla1[[#This Row],[Unit_Cost]] ) * Tabla1[[#This Row],[Quantity_Sold]]</f>
        <v>667.11999999999898</v>
      </c>
      <c r="P857" s="12">
        <f>Tabla1[[#This Row],[Profit]] / Tabla1[[#This Row],[Sales_Calculated]]</f>
        <v>2.1428094212692882E-2</v>
      </c>
      <c r="Q857" s="20">
        <f xml:space="preserve"> Tabla1[[#This Row],[Unit_Price]] * Tabla1[[#This Row],[Quantity_Sold]]</f>
        <v>31132.959999999999</v>
      </c>
    </row>
    <row r="858" spans="1:17" x14ac:dyDescent="0.3">
      <c r="A858" s="2">
        <v>1085</v>
      </c>
      <c r="B858" s="1">
        <v>45266</v>
      </c>
      <c r="C858" s="8" t="s">
        <v>38</v>
      </c>
      <c r="D858" s="8" t="s">
        <v>15</v>
      </c>
      <c r="E858" s="6">
        <v>397.26</v>
      </c>
      <c r="F858" s="2">
        <v>42</v>
      </c>
      <c r="G858" s="8" t="s">
        <v>35</v>
      </c>
      <c r="H858" s="6">
        <v>3117.75</v>
      </c>
      <c r="I858" s="6">
        <v>3159.88</v>
      </c>
      <c r="J858" s="8" t="s">
        <v>30</v>
      </c>
      <c r="K858" s="12">
        <v>0.04</v>
      </c>
      <c r="L858" s="8" t="s">
        <v>18</v>
      </c>
      <c r="M858" s="8" t="s">
        <v>22</v>
      </c>
      <c r="N858" s="10" t="s">
        <v>40</v>
      </c>
      <c r="O858" s="17">
        <f xml:space="preserve"> (Tabla1[[#This Row],[Unit_Price]] - Tabla1[[#This Row],[Unit_Cost]] ) * Tabla1[[#This Row],[Quantity_Sold]]</f>
        <v>1769.4600000000046</v>
      </c>
      <c r="P858" s="12">
        <f>Tabla1[[#This Row],[Profit]] / Tabla1[[#This Row],[Sales_Calculated]]</f>
        <v>1.3332784789295832E-2</v>
      </c>
      <c r="Q858" s="20">
        <f xml:space="preserve"> Tabla1[[#This Row],[Unit_Price]] * Tabla1[[#This Row],[Quantity_Sold]]</f>
        <v>132714.96</v>
      </c>
    </row>
    <row r="859" spans="1:17" x14ac:dyDescent="0.3">
      <c r="A859" s="2">
        <v>1014</v>
      </c>
      <c r="B859" s="1">
        <v>45154</v>
      </c>
      <c r="C859" s="8" t="s">
        <v>24</v>
      </c>
      <c r="D859" s="8" t="s">
        <v>25</v>
      </c>
      <c r="E859" s="6">
        <v>8983.92</v>
      </c>
      <c r="F859" s="2">
        <v>26</v>
      </c>
      <c r="G859" s="8" t="s">
        <v>16</v>
      </c>
      <c r="H859" s="6">
        <v>433.19</v>
      </c>
      <c r="I859" s="6">
        <v>800.6</v>
      </c>
      <c r="J859" s="8" t="s">
        <v>17</v>
      </c>
      <c r="K859" s="12">
        <v>0.2</v>
      </c>
      <c r="L859" s="8" t="s">
        <v>18</v>
      </c>
      <c r="M859" s="8" t="s">
        <v>19</v>
      </c>
      <c r="N859" s="10" t="s">
        <v>28</v>
      </c>
      <c r="O859" s="17">
        <f xml:space="preserve"> (Tabla1[[#This Row],[Unit_Price]] - Tabla1[[#This Row],[Unit_Cost]] ) * Tabla1[[#This Row],[Quantity_Sold]]</f>
        <v>9552.66</v>
      </c>
      <c r="P859" s="12">
        <f>Tabla1[[#This Row],[Profit]] / Tabla1[[#This Row],[Sales_Calculated]]</f>
        <v>0.45891831126655003</v>
      </c>
      <c r="Q859" s="20">
        <f xml:space="preserve"> Tabla1[[#This Row],[Unit_Price]] * Tabla1[[#This Row],[Quantity_Sold]]</f>
        <v>20815.600000000002</v>
      </c>
    </row>
    <row r="860" spans="1:17" x14ac:dyDescent="0.3">
      <c r="A860" s="2">
        <v>1066</v>
      </c>
      <c r="B860" s="1">
        <v>44935</v>
      </c>
      <c r="C860" s="8" t="s">
        <v>42</v>
      </c>
      <c r="D860" s="8" t="s">
        <v>15</v>
      </c>
      <c r="E860" s="6">
        <v>6264.04</v>
      </c>
      <c r="F860" s="2">
        <v>48</v>
      </c>
      <c r="G860" s="8" t="s">
        <v>29</v>
      </c>
      <c r="H860" s="6">
        <v>2588.54</v>
      </c>
      <c r="I860" s="6">
        <v>2872.8</v>
      </c>
      <c r="J860" s="8" t="s">
        <v>30</v>
      </c>
      <c r="K860" s="12">
        <v>0.17</v>
      </c>
      <c r="L860" s="8" t="s">
        <v>18</v>
      </c>
      <c r="M860" s="8" t="s">
        <v>19</v>
      </c>
      <c r="N860" s="10" t="s">
        <v>49</v>
      </c>
      <c r="O860" s="17">
        <f xml:space="preserve"> (Tabla1[[#This Row],[Unit_Price]] - Tabla1[[#This Row],[Unit_Cost]] ) * Tabla1[[#This Row],[Quantity_Sold]]</f>
        <v>13644.48000000001</v>
      </c>
      <c r="P860" s="12">
        <f>Tabla1[[#This Row],[Profit]] / Tabla1[[#This Row],[Sales_Calculated]]</f>
        <v>9.8948760790866119E-2</v>
      </c>
      <c r="Q860" s="20">
        <f xml:space="preserve"> Tabla1[[#This Row],[Unit_Price]] * Tabla1[[#This Row],[Quantity_Sold]]</f>
        <v>137894.40000000002</v>
      </c>
    </row>
    <row r="861" spans="1:17" x14ac:dyDescent="0.3">
      <c r="A861" s="2">
        <v>1075</v>
      </c>
      <c r="B861" s="1">
        <v>45092</v>
      </c>
      <c r="C861" s="8" t="s">
        <v>38</v>
      </c>
      <c r="D861" s="8" t="s">
        <v>15</v>
      </c>
      <c r="E861" s="6">
        <v>9736.49</v>
      </c>
      <c r="F861" s="2">
        <v>26</v>
      </c>
      <c r="G861" s="8" t="s">
        <v>16</v>
      </c>
      <c r="H861" s="6">
        <v>1749.34</v>
      </c>
      <c r="I861" s="6">
        <v>1935.25</v>
      </c>
      <c r="J861" s="8" t="s">
        <v>30</v>
      </c>
      <c r="K861" s="12">
        <v>0.14000000000000001</v>
      </c>
      <c r="L861" s="8" t="s">
        <v>31</v>
      </c>
      <c r="M861" s="8" t="s">
        <v>19</v>
      </c>
      <c r="N861" s="10" t="s">
        <v>40</v>
      </c>
      <c r="O861" s="17">
        <f xml:space="preserve"> (Tabla1[[#This Row],[Unit_Price]] - Tabla1[[#This Row],[Unit_Cost]] ) * Tabla1[[#This Row],[Quantity_Sold]]</f>
        <v>4833.6600000000017</v>
      </c>
      <c r="P861" s="12">
        <f>Tabla1[[#This Row],[Profit]] / Tabla1[[#This Row],[Sales_Calculated]]</f>
        <v>9.6065107867200655E-2</v>
      </c>
      <c r="Q861" s="20">
        <f xml:space="preserve"> Tabla1[[#This Row],[Unit_Price]] * Tabla1[[#This Row],[Quantity_Sold]]</f>
        <v>50316.5</v>
      </c>
    </row>
    <row r="862" spans="1:17" x14ac:dyDescent="0.3">
      <c r="A862" s="2">
        <v>1051</v>
      </c>
      <c r="B862" s="1">
        <v>45245</v>
      </c>
      <c r="C862" s="8" t="s">
        <v>42</v>
      </c>
      <c r="D862" s="8" t="s">
        <v>15</v>
      </c>
      <c r="E862" s="6">
        <v>4703.59</v>
      </c>
      <c r="F862" s="2">
        <v>23</v>
      </c>
      <c r="G862" s="8" t="s">
        <v>35</v>
      </c>
      <c r="H862" s="6">
        <v>1676.42</v>
      </c>
      <c r="I862" s="6">
        <v>2082.52</v>
      </c>
      <c r="J862" s="8" t="s">
        <v>30</v>
      </c>
      <c r="K862" s="12">
        <v>0.15</v>
      </c>
      <c r="L862" s="8" t="s">
        <v>27</v>
      </c>
      <c r="M862" s="8" t="s">
        <v>22</v>
      </c>
      <c r="N862" s="10" t="s">
        <v>49</v>
      </c>
      <c r="O862" s="17">
        <f xml:space="preserve"> (Tabla1[[#This Row],[Unit_Price]] - Tabla1[[#This Row],[Unit_Cost]] ) * Tabla1[[#This Row],[Quantity_Sold]]</f>
        <v>9340.2999999999975</v>
      </c>
      <c r="P862" s="12">
        <f>Tabla1[[#This Row],[Profit]] / Tabla1[[#This Row],[Sales_Calculated]]</f>
        <v>0.19500412961220057</v>
      </c>
      <c r="Q862" s="20">
        <f xml:space="preserve"> Tabla1[[#This Row],[Unit_Price]] * Tabla1[[#This Row],[Quantity_Sold]]</f>
        <v>47897.96</v>
      </c>
    </row>
    <row r="863" spans="1:17" x14ac:dyDescent="0.3">
      <c r="A863" s="2">
        <v>1038</v>
      </c>
      <c r="B863" s="1">
        <v>45140</v>
      </c>
      <c r="C863" s="8" t="s">
        <v>42</v>
      </c>
      <c r="D863" s="8" t="s">
        <v>34</v>
      </c>
      <c r="E863" s="6">
        <v>8489.14</v>
      </c>
      <c r="F863" s="2">
        <v>43</v>
      </c>
      <c r="G863" s="8" t="s">
        <v>16</v>
      </c>
      <c r="H863" s="6">
        <v>3031.17</v>
      </c>
      <c r="I863" s="6">
        <v>3231.32</v>
      </c>
      <c r="J863" s="8" t="s">
        <v>17</v>
      </c>
      <c r="K863" s="12">
        <v>0.22</v>
      </c>
      <c r="L863" s="8" t="s">
        <v>18</v>
      </c>
      <c r="M863" s="8" t="s">
        <v>22</v>
      </c>
      <c r="N863" s="10" t="s">
        <v>52</v>
      </c>
      <c r="O863" s="17">
        <f xml:space="preserve"> (Tabla1[[#This Row],[Unit_Price]] - Tabla1[[#This Row],[Unit_Cost]] ) * Tabla1[[#This Row],[Quantity_Sold]]</f>
        <v>8606.4500000000044</v>
      </c>
      <c r="P863" s="12">
        <f>Tabla1[[#This Row],[Profit]] / Tabla1[[#This Row],[Sales_Calculated]]</f>
        <v>6.1940631073369425E-2</v>
      </c>
      <c r="Q863" s="20">
        <f xml:space="preserve"> Tabla1[[#This Row],[Unit_Price]] * Tabla1[[#This Row],[Quantity_Sold]]</f>
        <v>138946.76</v>
      </c>
    </row>
    <row r="864" spans="1:17" x14ac:dyDescent="0.3">
      <c r="A864" s="2">
        <v>1064</v>
      </c>
      <c r="B864" s="1">
        <v>45043</v>
      </c>
      <c r="C864" s="8" t="s">
        <v>14</v>
      </c>
      <c r="D864" s="8" t="s">
        <v>15</v>
      </c>
      <c r="E864" s="6">
        <v>717.7</v>
      </c>
      <c r="F864" s="2">
        <v>13</v>
      </c>
      <c r="G864" s="8" t="s">
        <v>29</v>
      </c>
      <c r="H864" s="6">
        <v>1645.51</v>
      </c>
      <c r="I864" s="6">
        <v>2045.53</v>
      </c>
      <c r="J864" s="8" t="s">
        <v>17</v>
      </c>
      <c r="K864" s="12">
        <v>0.28000000000000003</v>
      </c>
      <c r="L864" s="8" t="s">
        <v>18</v>
      </c>
      <c r="M864" s="8" t="s">
        <v>22</v>
      </c>
      <c r="N864" s="10" t="s">
        <v>20</v>
      </c>
      <c r="O864" s="17">
        <f xml:space="preserve"> (Tabla1[[#This Row],[Unit_Price]] - Tabla1[[#This Row],[Unit_Cost]] ) * Tabla1[[#This Row],[Quantity_Sold]]</f>
        <v>5200.26</v>
      </c>
      <c r="P864" s="12">
        <f>Tabla1[[#This Row],[Profit]] / Tabla1[[#This Row],[Sales_Calculated]]</f>
        <v>0.19555811941159504</v>
      </c>
      <c r="Q864" s="20">
        <f xml:space="preserve"> Tabla1[[#This Row],[Unit_Price]] * Tabla1[[#This Row],[Quantity_Sold]]</f>
        <v>26591.89</v>
      </c>
    </row>
    <row r="865" spans="1:17" x14ac:dyDescent="0.3">
      <c r="A865" s="2">
        <v>1098</v>
      </c>
      <c r="B865" s="1">
        <v>45270</v>
      </c>
      <c r="C865" s="8" t="s">
        <v>38</v>
      </c>
      <c r="D865" s="8" t="s">
        <v>34</v>
      </c>
      <c r="E865" s="6">
        <v>3419.26</v>
      </c>
      <c r="F865" s="2">
        <v>28</v>
      </c>
      <c r="G865" s="8" t="s">
        <v>35</v>
      </c>
      <c r="H865" s="6">
        <v>3895.62</v>
      </c>
      <c r="I865" s="6">
        <v>4055.44</v>
      </c>
      <c r="J865" s="8" t="s">
        <v>30</v>
      </c>
      <c r="K865" s="12">
        <v>0.03</v>
      </c>
      <c r="L865" s="8" t="s">
        <v>27</v>
      </c>
      <c r="M865" s="8" t="s">
        <v>22</v>
      </c>
      <c r="N865" s="10" t="s">
        <v>48</v>
      </c>
      <c r="O865" s="17">
        <f xml:space="preserve"> (Tabla1[[#This Row],[Unit_Price]] - Tabla1[[#This Row],[Unit_Cost]] ) * Tabla1[[#This Row],[Quantity_Sold]]</f>
        <v>4474.9600000000046</v>
      </c>
      <c r="P865" s="12">
        <f>Tabla1[[#This Row],[Profit]] / Tabla1[[#This Row],[Sales_Calculated]]</f>
        <v>3.9408794113585742E-2</v>
      </c>
      <c r="Q865" s="20">
        <f xml:space="preserve"> Tabla1[[#This Row],[Unit_Price]] * Tabla1[[#This Row],[Quantity_Sold]]</f>
        <v>113552.32000000001</v>
      </c>
    </row>
    <row r="866" spans="1:17" x14ac:dyDescent="0.3">
      <c r="A866" s="2">
        <v>1038</v>
      </c>
      <c r="B866" s="1">
        <v>44998</v>
      </c>
      <c r="C866" s="8" t="s">
        <v>24</v>
      </c>
      <c r="D866" s="8" t="s">
        <v>15</v>
      </c>
      <c r="E866" s="6">
        <v>763.46</v>
      </c>
      <c r="F866" s="2">
        <v>9</v>
      </c>
      <c r="G866" s="8" t="s">
        <v>29</v>
      </c>
      <c r="H866" s="6">
        <v>400.42</v>
      </c>
      <c r="I866" s="6">
        <v>446.11</v>
      </c>
      <c r="J866" s="8" t="s">
        <v>30</v>
      </c>
      <c r="K866" s="12">
        <v>0.01</v>
      </c>
      <c r="L866" s="8" t="s">
        <v>27</v>
      </c>
      <c r="M866" s="8" t="s">
        <v>22</v>
      </c>
      <c r="N866" s="10" t="s">
        <v>45</v>
      </c>
      <c r="O866" s="17">
        <f xml:space="preserve"> (Tabla1[[#This Row],[Unit_Price]] - Tabla1[[#This Row],[Unit_Cost]] ) * Tabla1[[#This Row],[Quantity_Sold]]</f>
        <v>411.21</v>
      </c>
      <c r="P866" s="12">
        <f>Tabla1[[#This Row],[Profit]] / Tabla1[[#This Row],[Sales_Calculated]]</f>
        <v>0.10241868597431125</v>
      </c>
      <c r="Q866" s="20">
        <f xml:space="preserve"> Tabla1[[#This Row],[Unit_Price]] * Tabla1[[#This Row],[Quantity_Sold]]</f>
        <v>4014.9900000000002</v>
      </c>
    </row>
    <row r="867" spans="1:17" x14ac:dyDescent="0.3">
      <c r="A867" s="2">
        <v>1050</v>
      </c>
      <c r="B867" s="1">
        <v>44990</v>
      </c>
      <c r="C867" s="8" t="s">
        <v>14</v>
      </c>
      <c r="D867" s="8" t="s">
        <v>15</v>
      </c>
      <c r="E867" s="6">
        <v>9755.9</v>
      </c>
      <c r="F867" s="2">
        <v>20</v>
      </c>
      <c r="G867" s="8" t="s">
        <v>35</v>
      </c>
      <c r="H867" s="6">
        <v>3318.92</v>
      </c>
      <c r="I867" s="6">
        <v>3785.91</v>
      </c>
      <c r="J867" s="8" t="s">
        <v>30</v>
      </c>
      <c r="K867" s="12">
        <v>0.24</v>
      </c>
      <c r="L867" s="8" t="s">
        <v>27</v>
      </c>
      <c r="M867" s="8" t="s">
        <v>19</v>
      </c>
      <c r="N867" s="10" t="s">
        <v>20</v>
      </c>
      <c r="O867" s="17">
        <f xml:space="preserve"> (Tabla1[[#This Row],[Unit_Price]] - Tabla1[[#This Row],[Unit_Cost]] ) * Tabla1[[#This Row],[Quantity_Sold]]</f>
        <v>9339.7999999999956</v>
      </c>
      <c r="P867" s="12">
        <f>Tabla1[[#This Row],[Profit]] / Tabla1[[#This Row],[Sales_Calculated]]</f>
        <v>0.12334947212162989</v>
      </c>
      <c r="Q867" s="20">
        <f xml:space="preserve"> Tabla1[[#This Row],[Unit_Price]] * Tabla1[[#This Row],[Quantity_Sold]]</f>
        <v>75718.2</v>
      </c>
    </row>
    <row r="868" spans="1:17" x14ac:dyDescent="0.3">
      <c r="A868" s="2">
        <v>1098</v>
      </c>
      <c r="B868" s="1">
        <v>45131</v>
      </c>
      <c r="C868" s="8" t="s">
        <v>42</v>
      </c>
      <c r="D868" s="8" t="s">
        <v>25</v>
      </c>
      <c r="E868" s="6">
        <v>8188.04</v>
      </c>
      <c r="F868" s="2">
        <v>19</v>
      </c>
      <c r="G868" s="8" t="s">
        <v>35</v>
      </c>
      <c r="H868" s="6">
        <v>4055.51</v>
      </c>
      <c r="I868" s="6">
        <v>4258.84</v>
      </c>
      <c r="J868" s="8" t="s">
        <v>17</v>
      </c>
      <c r="K868" s="12">
        <v>0.03</v>
      </c>
      <c r="L868" s="8" t="s">
        <v>31</v>
      </c>
      <c r="M868" s="8" t="s">
        <v>19</v>
      </c>
      <c r="N868" s="10" t="s">
        <v>43</v>
      </c>
      <c r="O868" s="17">
        <f xml:space="preserve"> (Tabla1[[#This Row],[Unit_Price]] - Tabla1[[#This Row],[Unit_Cost]] ) * Tabla1[[#This Row],[Quantity_Sold]]</f>
        <v>3863.2699999999986</v>
      </c>
      <c r="P868" s="12">
        <f>Tabla1[[#This Row],[Profit]] / Tabla1[[#This Row],[Sales_Calculated]]</f>
        <v>4.7743047402579085E-2</v>
      </c>
      <c r="Q868" s="20">
        <f xml:space="preserve"> Tabla1[[#This Row],[Unit_Price]] * Tabla1[[#This Row],[Quantity_Sold]]</f>
        <v>80917.960000000006</v>
      </c>
    </row>
    <row r="869" spans="1:17" x14ac:dyDescent="0.3">
      <c r="A869" s="2">
        <v>1082</v>
      </c>
      <c r="B869" s="1">
        <v>45135</v>
      </c>
      <c r="C869" s="8" t="s">
        <v>42</v>
      </c>
      <c r="D869" s="8" t="s">
        <v>34</v>
      </c>
      <c r="E869" s="6">
        <v>8540.2199999999993</v>
      </c>
      <c r="F869" s="2">
        <v>48</v>
      </c>
      <c r="G869" s="8" t="s">
        <v>26</v>
      </c>
      <c r="H869" s="6">
        <v>3380.52</v>
      </c>
      <c r="I869" s="6">
        <v>3778.94</v>
      </c>
      <c r="J869" s="8" t="s">
        <v>17</v>
      </c>
      <c r="K869" s="12">
        <v>0.3</v>
      </c>
      <c r="L869" s="8" t="s">
        <v>27</v>
      </c>
      <c r="M869" s="8" t="s">
        <v>19</v>
      </c>
      <c r="N869" s="10" t="s">
        <v>52</v>
      </c>
      <c r="O869" s="17">
        <f xml:space="preserve"> (Tabla1[[#This Row],[Unit_Price]] - Tabla1[[#This Row],[Unit_Cost]] ) * Tabla1[[#This Row],[Quantity_Sold]]</f>
        <v>19124.160000000003</v>
      </c>
      <c r="P869" s="12">
        <f>Tabla1[[#This Row],[Profit]] / Tabla1[[#This Row],[Sales_Calculated]]</f>
        <v>0.10543168190021543</v>
      </c>
      <c r="Q869" s="20">
        <f xml:space="preserve"> Tabla1[[#This Row],[Unit_Price]] * Tabla1[[#This Row],[Quantity_Sold]]</f>
        <v>181389.12</v>
      </c>
    </row>
    <row r="870" spans="1:17" x14ac:dyDescent="0.3">
      <c r="A870" s="2">
        <v>1030</v>
      </c>
      <c r="B870" s="1">
        <v>44998</v>
      </c>
      <c r="C870" s="8" t="s">
        <v>42</v>
      </c>
      <c r="D870" s="8" t="s">
        <v>15</v>
      </c>
      <c r="E870" s="6">
        <v>9385.86</v>
      </c>
      <c r="F870" s="2">
        <v>39</v>
      </c>
      <c r="G870" s="8" t="s">
        <v>26</v>
      </c>
      <c r="H870" s="6">
        <v>2511.2800000000002</v>
      </c>
      <c r="I870" s="6">
        <v>2658.06</v>
      </c>
      <c r="J870" s="8" t="s">
        <v>30</v>
      </c>
      <c r="K870" s="12">
        <v>0.19</v>
      </c>
      <c r="L870" s="8" t="s">
        <v>31</v>
      </c>
      <c r="M870" s="8" t="s">
        <v>22</v>
      </c>
      <c r="N870" s="10" t="s">
        <v>49</v>
      </c>
      <c r="O870" s="17">
        <f xml:space="preserve"> (Tabla1[[#This Row],[Unit_Price]] - Tabla1[[#This Row],[Unit_Cost]] ) * Tabla1[[#This Row],[Quantity_Sold]]</f>
        <v>5724.4199999999901</v>
      </c>
      <c r="P870" s="12">
        <f>Tabla1[[#This Row],[Profit]] / Tabla1[[#This Row],[Sales_Calculated]]</f>
        <v>5.5220724889581026E-2</v>
      </c>
      <c r="Q870" s="20">
        <f xml:space="preserve"> Tabla1[[#This Row],[Unit_Price]] * Tabla1[[#This Row],[Quantity_Sold]]</f>
        <v>103664.34</v>
      </c>
    </row>
    <row r="871" spans="1:17" x14ac:dyDescent="0.3">
      <c r="A871" s="2">
        <v>1079</v>
      </c>
      <c r="B871" s="1">
        <v>45203</v>
      </c>
      <c r="C871" s="8" t="s">
        <v>38</v>
      </c>
      <c r="D871" s="8" t="s">
        <v>34</v>
      </c>
      <c r="E871" s="6">
        <v>942.52</v>
      </c>
      <c r="F871" s="2">
        <v>12</v>
      </c>
      <c r="G871" s="8" t="s">
        <v>26</v>
      </c>
      <c r="H871" s="6">
        <v>4754.0200000000004</v>
      </c>
      <c r="I871" s="6">
        <v>5080.74</v>
      </c>
      <c r="J871" s="8" t="s">
        <v>30</v>
      </c>
      <c r="K871" s="12">
        <v>0.2</v>
      </c>
      <c r="L871" s="8" t="s">
        <v>18</v>
      </c>
      <c r="M871" s="8" t="s">
        <v>19</v>
      </c>
      <c r="N871" s="10" t="s">
        <v>48</v>
      </c>
      <c r="O871" s="17">
        <f xml:space="preserve"> (Tabla1[[#This Row],[Unit_Price]] - Tabla1[[#This Row],[Unit_Cost]] ) * Tabla1[[#This Row],[Quantity_Sold]]</f>
        <v>3920.6399999999921</v>
      </c>
      <c r="P871" s="12">
        <f>Tabla1[[#This Row],[Profit]] / Tabla1[[#This Row],[Sales_Calculated]]</f>
        <v>6.4305593279718964E-2</v>
      </c>
      <c r="Q871" s="20">
        <f xml:space="preserve"> Tabla1[[#This Row],[Unit_Price]] * Tabla1[[#This Row],[Quantity_Sold]]</f>
        <v>60968.88</v>
      </c>
    </row>
    <row r="872" spans="1:17" x14ac:dyDescent="0.3">
      <c r="A872" s="2">
        <v>1091</v>
      </c>
      <c r="B872" s="1">
        <v>45200</v>
      </c>
      <c r="C872" s="8" t="s">
        <v>38</v>
      </c>
      <c r="D872" s="8" t="s">
        <v>34</v>
      </c>
      <c r="E872" s="6">
        <v>3917.42</v>
      </c>
      <c r="F872" s="2">
        <v>15</v>
      </c>
      <c r="G872" s="8" t="s">
        <v>35</v>
      </c>
      <c r="H872" s="6">
        <v>1534.7</v>
      </c>
      <c r="I872" s="6">
        <v>1972.62</v>
      </c>
      <c r="J872" s="8" t="s">
        <v>17</v>
      </c>
      <c r="K872" s="12">
        <v>0.06</v>
      </c>
      <c r="L872" s="8" t="s">
        <v>31</v>
      </c>
      <c r="M872" s="8" t="s">
        <v>22</v>
      </c>
      <c r="N872" s="10" t="s">
        <v>48</v>
      </c>
      <c r="O872" s="17">
        <f xml:space="preserve"> (Tabla1[[#This Row],[Unit_Price]] - Tabla1[[#This Row],[Unit_Cost]] ) * Tabla1[[#This Row],[Quantity_Sold]]</f>
        <v>6568.7999999999975</v>
      </c>
      <c r="P872" s="12">
        <f>Tabla1[[#This Row],[Profit]] / Tabla1[[#This Row],[Sales_Calculated]]</f>
        <v>0.22199916861838562</v>
      </c>
      <c r="Q872" s="20">
        <f xml:space="preserve"> Tabla1[[#This Row],[Unit_Price]] * Tabla1[[#This Row],[Quantity_Sold]]</f>
        <v>29589.3</v>
      </c>
    </row>
    <row r="873" spans="1:17" x14ac:dyDescent="0.3">
      <c r="A873" s="2">
        <v>1051</v>
      </c>
      <c r="B873" s="1">
        <v>45246</v>
      </c>
      <c r="C873" s="8" t="s">
        <v>14</v>
      </c>
      <c r="D873" s="8" t="s">
        <v>21</v>
      </c>
      <c r="E873" s="6">
        <v>803.25</v>
      </c>
      <c r="F873" s="2">
        <v>31</v>
      </c>
      <c r="G873" s="8" t="s">
        <v>16</v>
      </c>
      <c r="H873" s="6">
        <v>144.88</v>
      </c>
      <c r="I873" s="6">
        <v>175.29</v>
      </c>
      <c r="J873" s="8" t="s">
        <v>30</v>
      </c>
      <c r="K873" s="12">
        <v>7.0000000000000007E-2</v>
      </c>
      <c r="L873" s="8" t="s">
        <v>27</v>
      </c>
      <c r="M873" s="8" t="s">
        <v>19</v>
      </c>
      <c r="N873" s="10" t="s">
        <v>23</v>
      </c>
      <c r="O873" s="17">
        <f xml:space="preserve"> (Tabla1[[#This Row],[Unit_Price]] - Tabla1[[#This Row],[Unit_Cost]] ) * Tabla1[[#This Row],[Quantity_Sold]]</f>
        <v>942.70999999999992</v>
      </c>
      <c r="P873" s="12">
        <f>Tabla1[[#This Row],[Profit]] / Tabla1[[#This Row],[Sales_Calculated]]</f>
        <v>0.17348394089794056</v>
      </c>
      <c r="Q873" s="20">
        <f xml:space="preserve"> Tabla1[[#This Row],[Unit_Price]] * Tabla1[[#This Row],[Quantity_Sold]]</f>
        <v>5433.99</v>
      </c>
    </row>
    <row r="874" spans="1:17" x14ac:dyDescent="0.3">
      <c r="A874" s="2">
        <v>1063</v>
      </c>
      <c r="B874" s="1">
        <v>45264</v>
      </c>
      <c r="C874" s="8" t="s">
        <v>24</v>
      </c>
      <c r="D874" s="8" t="s">
        <v>25</v>
      </c>
      <c r="E874" s="6">
        <v>2186.85</v>
      </c>
      <c r="F874" s="2">
        <v>14</v>
      </c>
      <c r="G874" s="8" t="s">
        <v>29</v>
      </c>
      <c r="H874" s="6">
        <v>2188.35</v>
      </c>
      <c r="I874" s="6">
        <v>2605.3599999999901</v>
      </c>
      <c r="J874" s="8" t="s">
        <v>17</v>
      </c>
      <c r="K874" s="12">
        <v>0.2</v>
      </c>
      <c r="L874" s="8" t="s">
        <v>31</v>
      </c>
      <c r="M874" s="8" t="s">
        <v>22</v>
      </c>
      <c r="N874" s="10" t="s">
        <v>28</v>
      </c>
      <c r="O874" s="17">
        <f xml:space="preserve"> (Tabla1[[#This Row],[Unit_Price]] - Tabla1[[#This Row],[Unit_Cost]] ) * Tabla1[[#This Row],[Quantity_Sold]]</f>
        <v>5838.139999999863</v>
      </c>
      <c r="P874" s="12">
        <f>Tabla1[[#This Row],[Profit]] / Tabla1[[#This Row],[Sales_Calculated]]</f>
        <v>0.16005849479534182</v>
      </c>
      <c r="Q874" s="20">
        <f xml:space="preserve"> Tabla1[[#This Row],[Unit_Price]] * Tabla1[[#This Row],[Quantity_Sold]]</f>
        <v>36475.039999999863</v>
      </c>
    </row>
    <row r="875" spans="1:17" x14ac:dyDescent="0.3">
      <c r="A875" s="2">
        <v>1098</v>
      </c>
      <c r="B875" s="1">
        <v>45292</v>
      </c>
      <c r="C875" s="8" t="s">
        <v>14</v>
      </c>
      <c r="D875" s="8" t="s">
        <v>25</v>
      </c>
      <c r="E875" s="6">
        <v>2370.7199999999998</v>
      </c>
      <c r="F875" s="2">
        <v>11</v>
      </c>
      <c r="G875" s="8" t="s">
        <v>29</v>
      </c>
      <c r="H875" s="6">
        <v>213.41</v>
      </c>
      <c r="I875" s="6">
        <v>503.36</v>
      </c>
      <c r="J875" s="8" t="s">
        <v>17</v>
      </c>
      <c r="K875" s="12">
        <v>0.27</v>
      </c>
      <c r="L875" s="8" t="s">
        <v>27</v>
      </c>
      <c r="M875" s="8" t="s">
        <v>19</v>
      </c>
      <c r="N875" s="10" t="s">
        <v>32</v>
      </c>
      <c r="O875" s="17">
        <f xml:space="preserve"> (Tabla1[[#This Row],[Unit_Price]] - Tabla1[[#This Row],[Unit_Cost]] ) * Tabla1[[#This Row],[Quantity_Sold]]</f>
        <v>3189.4500000000007</v>
      </c>
      <c r="P875" s="12">
        <f>Tabla1[[#This Row],[Profit]] / Tabla1[[#This Row],[Sales_Calculated]]</f>
        <v>0.5760290845518119</v>
      </c>
      <c r="Q875" s="20">
        <f xml:space="preserve"> Tabla1[[#This Row],[Unit_Price]] * Tabla1[[#This Row],[Quantity_Sold]]</f>
        <v>5536.96</v>
      </c>
    </row>
    <row r="876" spans="1:17" x14ac:dyDescent="0.3">
      <c r="A876" s="2">
        <v>1052</v>
      </c>
      <c r="B876" s="1">
        <v>45021</v>
      </c>
      <c r="C876" s="8" t="s">
        <v>33</v>
      </c>
      <c r="D876" s="8" t="s">
        <v>25</v>
      </c>
      <c r="E876" s="6">
        <v>4744.16</v>
      </c>
      <c r="F876" s="2">
        <v>26</v>
      </c>
      <c r="G876" s="8" t="s">
        <v>29</v>
      </c>
      <c r="H876" s="6">
        <v>4771.99</v>
      </c>
      <c r="I876" s="6">
        <v>5079.6499999999996</v>
      </c>
      <c r="J876" s="8" t="s">
        <v>30</v>
      </c>
      <c r="K876" s="12">
        <v>0.28999999999999998</v>
      </c>
      <c r="L876" s="8" t="s">
        <v>31</v>
      </c>
      <c r="M876" s="8" t="s">
        <v>19</v>
      </c>
      <c r="N876" s="10" t="s">
        <v>44</v>
      </c>
      <c r="O876" s="17">
        <f xml:space="preserve"> (Tabla1[[#This Row],[Unit_Price]] - Tabla1[[#This Row],[Unit_Cost]] ) * Tabla1[[#This Row],[Quantity_Sold]]</f>
        <v>7999.1599999999962</v>
      </c>
      <c r="P876" s="12">
        <f>Tabla1[[#This Row],[Profit]] / Tabla1[[#This Row],[Sales_Calculated]]</f>
        <v>6.0567165060584856E-2</v>
      </c>
      <c r="Q876" s="20">
        <f xml:space="preserve"> Tabla1[[#This Row],[Unit_Price]] * Tabla1[[#This Row],[Quantity_Sold]]</f>
        <v>132070.9</v>
      </c>
    </row>
    <row r="877" spans="1:17" x14ac:dyDescent="0.3">
      <c r="A877" s="2">
        <v>1038</v>
      </c>
      <c r="B877" s="1">
        <v>45092</v>
      </c>
      <c r="C877" s="8" t="s">
        <v>42</v>
      </c>
      <c r="D877" s="8" t="s">
        <v>21</v>
      </c>
      <c r="E877" s="6">
        <v>2758.77</v>
      </c>
      <c r="F877" s="2">
        <v>42</v>
      </c>
      <c r="G877" s="8" t="s">
        <v>26</v>
      </c>
      <c r="H877" s="6">
        <v>1089.0899999999999</v>
      </c>
      <c r="I877" s="6">
        <v>1355.44</v>
      </c>
      <c r="J877" s="8" t="s">
        <v>30</v>
      </c>
      <c r="K877" s="12">
        <v>0.06</v>
      </c>
      <c r="L877" s="8" t="s">
        <v>18</v>
      </c>
      <c r="M877" s="8" t="s">
        <v>22</v>
      </c>
      <c r="N877" s="10" t="s">
        <v>51</v>
      </c>
      <c r="O877" s="17">
        <f xml:space="preserve"> (Tabla1[[#This Row],[Unit_Price]] - Tabla1[[#This Row],[Unit_Cost]] ) * Tabla1[[#This Row],[Quantity_Sold]]</f>
        <v>11186.700000000006</v>
      </c>
      <c r="P877" s="12">
        <f>Tabla1[[#This Row],[Profit]] / Tabla1[[#This Row],[Sales_Calculated]]</f>
        <v>0.19650445611757078</v>
      </c>
      <c r="Q877" s="20">
        <f xml:space="preserve"> Tabla1[[#This Row],[Unit_Price]] * Tabla1[[#This Row],[Quantity_Sold]]</f>
        <v>56928.480000000003</v>
      </c>
    </row>
    <row r="878" spans="1:17" x14ac:dyDescent="0.3">
      <c r="A878" s="2">
        <v>1097</v>
      </c>
      <c r="B878" s="1">
        <v>44958</v>
      </c>
      <c r="C878" s="8" t="s">
        <v>42</v>
      </c>
      <c r="D878" s="8" t="s">
        <v>21</v>
      </c>
      <c r="E878" s="6">
        <v>1099.68</v>
      </c>
      <c r="F878" s="2">
        <v>27</v>
      </c>
      <c r="G878" s="8" t="s">
        <v>35</v>
      </c>
      <c r="H878" s="6">
        <v>3955.19</v>
      </c>
      <c r="I878" s="6">
        <v>4393.68</v>
      </c>
      <c r="J878" s="8" t="s">
        <v>17</v>
      </c>
      <c r="K878" s="12">
        <v>0.04</v>
      </c>
      <c r="L878" s="8" t="s">
        <v>31</v>
      </c>
      <c r="M878" s="8" t="s">
        <v>19</v>
      </c>
      <c r="N878" s="10" t="s">
        <v>51</v>
      </c>
      <c r="O878" s="17">
        <f xml:space="preserve"> (Tabla1[[#This Row],[Unit_Price]] - Tabla1[[#This Row],[Unit_Cost]] ) * Tabla1[[#This Row],[Quantity_Sold]]</f>
        <v>11839.230000000007</v>
      </c>
      <c r="P878" s="12">
        <f>Tabla1[[#This Row],[Profit]] / Tabla1[[#This Row],[Sales_Calculated]]</f>
        <v>9.9800167513337382E-2</v>
      </c>
      <c r="Q878" s="20">
        <f xml:space="preserve"> Tabla1[[#This Row],[Unit_Price]] * Tabla1[[#This Row],[Quantity_Sold]]</f>
        <v>118629.36000000002</v>
      </c>
    </row>
    <row r="879" spans="1:17" x14ac:dyDescent="0.3">
      <c r="A879" s="2">
        <v>1088</v>
      </c>
      <c r="B879" s="1">
        <v>44937</v>
      </c>
      <c r="C879" s="8" t="s">
        <v>42</v>
      </c>
      <c r="D879" s="8" t="s">
        <v>25</v>
      </c>
      <c r="E879" s="6">
        <v>1758.16</v>
      </c>
      <c r="F879" s="2">
        <v>11</v>
      </c>
      <c r="G879" s="8" t="s">
        <v>26</v>
      </c>
      <c r="H879" s="6">
        <v>3884.13</v>
      </c>
      <c r="I879" s="6">
        <v>3915.41</v>
      </c>
      <c r="J879" s="8" t="s">
        <v>17</v>
      </c>
      <c r="K879" s="12">
        <v>0.02</v>
      </c>
      <c r="L879" s="8" t="s">
        <v>18</v>
      </c>
      <c r="M879" s="8" t="s">
        <v>19</v>
      </c>
      <c r="N879" s="10" t="s">
        <v>43</v>
      </c>
      <c r="O879" s="17">
        <f xml:space="preserve"> (Tabla1[[#This Row],[Unit_Price]] - Tabla1[[#This Row],[Unit_Cost]] ) * Tabla1[[#This Row],[Quantity_Sold]]</f>
        <v>344.0799999999972</v>
      </c>
      <c r="P879" s="12">
        <f>Tabla1[[#This Row],[Profit]] / Tabla1[[#This Row],[Sales_Calculated]]</f>
        <v>7.9889462406235231E-3</v>
      </c>
      <c r="Q879" s="20">
        <f xml:space="preserve"> Tabla1[[#This Row],[Unit_Price]] * Tabla1[[#This Row],[Quantity_Sold]]</f>
        <v>43069.509999999995</v>
      </c>
    </row>
    <row r="880" spans="1:17" x14ac:dyDescent="0.3">
      <c r="A880" s="2">
        <v>1079</v>
      </c>
      <c r="B880" s="1">
        <v>45227</v>
      </c>
      <c r="C880" s="8" t="s">
        <v>14</v>
      </c>
      <c r="D880" s="8" t="s">
        <v>21</v>
      </c>
      <c r="E880" s="6">
        <v>1558.03</v>
      </c>
      <c r="F880" s="2">
        <v>38</v>
      </c>
      <c r="G880" s="8" t="s">
        <v>16</v>
      </c>
      <c r="H880" s="6">
        <v>1127.76</v>
      </c>
      <c r="I880" s="6">
        <v>1265.6600000000001</v>
      </c>
      <c r="J880" s="8" t="s">
        <v>17</v>
      </c>
      <c r="K880" s="12">
        <v>0.26</v>
      </c>
      <c r="L880" s="8" t="s">
        <v>27</v>
      </c>
      <c r="M880" s="8" t="s">
        <v>22</v>
      </c>
      <c r="N880" s="10" t="s">
        <v>23</v>
      </c>
      <c r="O880" s="17">
        <f xml:space="preserve"> (Tabla1[[#This Row],[Unit_Price]] - Tabla1[[#This Row],[Unit_Cost]] ) * Tabla1[[#This Row],[Quantity_Sold]]</f>
        <v>5240.2000000000035</v>
      </c>
      <c r="P880" s="12">
        <f>Tabla1[[#This Row],[Profit]] / Tabla1[[#This Row],[Sales_Calculated]]</f>
        <v>0.1089550116144937</v>
      </c>
      <c r="Q880" s="20">
        <f xml:space="preserve"> Tabla1[[#This Row],[Unit_Price]] * Tabla1[[#This Row],[Quantity_Sold]]</f>
        <v>48095.08</v>
      </c>
    </row>
    <row r="881" spans="1:17" x14ac:dyDescent="0.3">
      <c r="A881" s="2">
        <v>1030</v>
      </c>
      <c r="B881" s="1">
        <v>45143</v>
      </c>
      <c r="C881" s="8" t="s">
        <v>14</v>
      </c>
      <c r="D881" s="8" t="s">
        <v>21</v>
      </c>
      <c r="E881" s="6">
        <v>9733.4599999999991</v>
      </c>
      <c r="F881" s="2">
        <v>34</v>
      </c>
      <c r="G881" s="8" t="s">
        <v>35</v>
      </c>
      <c r="H881" s="6">
        <v>3125.07</v>
      </c>
      <c r="I881" s="6">
        <v>3564.19</v>
      </c>
      <c r="J881" s="8" t="s">
        <v>17</v>
      </c>
      <c r="K881" s="12">
        <v>0.09</v>
      </c>
      <c r="L881" s="8" t="s">
        <v>18</v>
      </c>
      <c r="M881" s="8" t="s">
        <v>19</v>
      </c>
      <c r="N881" s="10" t="s">
        <v>23</v>
      </c>
      <c r="O881" s="17">
        <f xml:space="preserve"> (Tabla1[[#This Row],[Unit_Price]] - Tabla1[[#This Row],[Unit_Cost]] ) * Tabla1[[#This Row],[Quantity_Sold]]</f>
        <v>14930.079999999996</v>
      </c>
      <c r="P881" s="12">
        <f>Tabla1[[#This Row],[Profit]] / Tabla1[[#This Row],[Sales_Calculated]]</f>
        <v>0.12320330846559804</v>
      </c>
      <c r="Q881" s="20">
        <f xml:space="preserve"> Tabla1[[#This Row],[Unit_Price]] * Tabla1[[#This Row],[Quantity_Sold]]</f>
        <v>121182.46</v>
      </c>
    </row>
    <row r="882" spans="1:17" x14ac:dyDescent="0.3">
      <c r="A882" s="2">
        <v>1051</v>
      </c>
      <c r="B882" s="1">
        <v>45215</v>
      </c>
      <c r="C882" s="8" t="s">
        <v>42</v>
      </c>
      <c r="D882" s="8" t="s">
        <v>21</v>
      </c>
      <c r="E882" s="6">
        <v>7617</v>
      </c>
      <c r="F882" s="2">
        <v>43</v>
      </c>
      <c r="G882" s="8" t="s">
        <v>29</v>
      </c>
      <c r="H882" s="6">
        <v>287.99</v>
      </c>
      <c r="I882" s="6">
        <v>666.64</v>
      </c>
      <c r="J882" s="8" t="s">
        <v>17</v>
      </c>
      <c r="K882" s="12">
        <v>0</v>
      </c>
      <c r="L882" s="8" t="s">
        <v>27</v>
      </c>
      <c r="M882" s="8" t="s">
        <v>19</v>
      </c>
      <c r="N882" s="10" t="s">
        <v>51</v>
      </c>
      <c r="O882" s="17">
        <f xml:space="preserve"> (Tabla1[[#This Row],[Unit_Price]] - Tabla1[[#This Row],[Unit_Cost]] ) * Tabla1[[#This Row],[Quantity_Sold]]</f>
        <v>16281.949999999999</v>
      </c>
      <c r="P882" s="12">
        <f>Tabla1[[#This Row],[Profit]] / Tabla1[[#This Row],[Sales_Calculated]]</f>
        <v>0.56799771990879633</v>
      </c>
      <c r="Q882" s="20">
        <f xml:space="preserve"> Tabla1[[#This Row],[Unit_Price]] * Tabla1[[#This Row],[Quantity_Sold]]</f>
        <v>28665.52</v>
      </c>
    </row>
    <row r="883" spans="1:17" x14ac:dyDescent="0.3">
      <c r="A883" s="2">
        <v>1081</v>
      </c>
      <c r="B883" s="1">
        <v>45028</v>
      </c>
      <c r="C883" s="8" t="s">
        <v>14</v>
      </c>
      <c r="D883" s="8" t="s">
        <v>25</v>
      </c>
      <c r="E883" s="6">
        <v>9680.84</v>
      </c>
      <c r="F883" s="2">
        <v>19</v>
      </c>
      <c r="G883" s="8" t="s">
        <v>26</v>
      </c>
      <c r="H883" s="6">
        <v>2443.69</v>
      </c>
      <c r="I883" s="6">
        <v>2462.34</v>
      </c>
      <c r="J883" s="8" t="s">
        <v>30</v>
      </c>
      <c r="K883" s="12">
        <v>7.0000000000000007E-2</v>
      </c>
      <c r="L883" s="8" t="s">
        <v>27</v>
      </c>
      <c r="M883" s="8" t="s">
        <v>22</v>
      </c>
      <c r="N883" s="10" t="s">
        <v>32</v>
      </c>
      <c r="O883" s="17">
        <f xml:space="preserve"> (Tabla1[[#This Row],[Unit_Price]] - Tabla1[[#This Row],[Unit_Cost]] ) * Tabla1[[#This Row],[Quantity_Sold]]</f>
        <v>354.35000000000173</v>
      </c>
      <c r="P883" s="12">
        <f>Tabla1[[#This Row],[Profit]] / Tabla1[[#This Row],[Sales_Calculated]]</f>
        <v>7.5740961849298178E-3</v>
      </c>
      <c r="Q883" s="20">
        <f xml:space="preserve"> Tabla1[[#This Row],[Unit_Price]] * Tabla1[[#This Row],[Quantity_Sold]]</f>
        <v>46784.460000000006</v>
      </c>
    </row>
    <row r="884" spans="1:17" x14ac:dyDescent="0.3">
      <c r="A884" s="2">
        <v>1005</v>
      </c>
      <c r="B884" s="1">
        <v>45193</v>
      </c>
      <c r="C884" s="8" t="s">
        <v>38</v>
      </c>
      <c r="D884" s="8" t="s">
        <v>25</v>
      </c>
      <c r="E884" s="6">
        <v>4453.43</v>
      </c>
      <c r="F884" s="2">
        <v>6</v>
      </c>
      <c r="G884" s="8" t="s">
        <v>26</v>
      </c>
      <c r="H884" s="6">
        <v>122.5</v>
      </c>
      <c r="I884" s="6">
        <v>385.83</v>
      </c>
      <c r="J884" s="8" t="s">
        <v>17</v>
      </c>
      <c r="K884" s="12">
        <v>0.1</v>
      </c>
      <c r="L884" s="8" t="s">
        <v>18</v>
      </c>
      <c r="M884" s="8" t="s">
        <v>22</v>
      </c>
      <c r="N884" s="10" t="s">
        <v>39</v>
      </c>
      <c r="O884" s="17">
        <f xml:space="preserve"> (Tabla1[[#This Row],[Unit_Price]] - Tabla1[[#This Row],[Unit_Cost]] ) * Tabla1[[#This Row],[Quantity_Sold]]</f>
        <v>1579.98</v>
      </c>
      <c r="P884" s="12">
        <f>Tabla1[[#This Row],[Profit]] / Tabla1[[#This Row],[Sales_Calculated]]</f>
        <v>0.68250265661042431</v>
      </c>
      <c r="Q884" s="20">
        <f xml:space="preserve"> Tabla1[[#This Row],[Unit_Price]] * Tabla1[[#This Row],[Quantity_Sold]]</f>
        <v>2314.98</v>
      </c>
    </row>
    <row r="885" spans="1:17" x14ac:dyDescent="0.3">
      <c r="A885" s="2">
        <v>1029</v>
      </c>
      <c r="B885" s="1">
        <v>45140</v>
      </c>
      <c r="C885" s="8" t="s">
        <v>38</v>
      </c>
      <c r="D885" s="8" t="s">
        <v>25</v>
      </c>
      <c r="E885" s="6">
        <v>2855.85</v>
      </c>
      <c r="F885" s="2">
        <v>46</v>
      </c>
      <c r="G885" s="8" t="s">
        <v>16</v>
      </c>
      <c r="H885" s="6">
        <v>4609.66</v>
      </c>
      <c r="I885" s="6">
        <v>4879.1499999999996</v>
      </c>
      <c r="J885" s="8" t="s">
        <v>17</v>
      </c>
      <c r="K885" s="12">
        <v>0.3</v>
      </c>
      <c r="L885" s="8" t="s">
        <v>18</v>
      </c>
      <c r="M885" s="8" t="s">
        <v>22</v>
      </c>
      <c r="N885" s="10" t="s">
        <v>39</v>
      </c>
      <c r="O885" s="17">
        <f xml:space="preserve"> (Tabla1[[#This Row],[Unit_Price]] - Tabla1[[#This Row],[Unit_Cost]] ) * Tabla1[[#This Row],[Quantity_Sold]]</f>
        <v>12396.53999999999</v>
      </c>
      <c r="P885" s="12">
        <f>Tabla1[[#This Row],[Profit]] / Tabla1[[#This Row],[Sales_Calculated]]</f>
        <v>5.5232981154504326E-2</v>
      </c>
      <c r="Q885" s="20">
        <f xml:space="preserve"> Tabla1[[#This Row],[Unit_Price]] * Tabla1[[#This Row],[Quantity_Sold]]</f>
        <v>224440.9</v>
      </c>
    </row>
    <row r="886" spans="1:17" x14ac:dyDescent="0.3">
      <c r="A886" s="2">
        <v>1004</v>
      </c>
      <c r="B886" s="1">
        <v>45105</v>
      </c>
      <c r="C886" s="8" t="s">
        <v>14</v>
      </c>
      <c r="D886" s="8" t="s">
        <v>21</v>
      </c>
      <c r="E886" s="6">
        <v>8003.1</v>
      </c>
      <c r="F886" s="2">
        <v>38</v>
      </c>
      <c r="G886" s="8" t="s">
        <v>16</v>
      </c>
      <c r="H886" s="6">
        <v>4881.63</v>
      </c>
      <c r="I886" s="6">
        <v>5088.0600000000004</v>
      </c>
      <c r="J886" s="8" t="s">
        <v>17</v>
      </c>
      <c r="K886" s="12">
        <v>0.16</v>
      </c>
      <c r="L886" s="8" t="s">
        <v>31</v>
      </c>
      <c r="M886" s="8" t="s">
        <v>22</v>
      </c>
      <c r="N886" s="10" t="s">
        <v>23</v>
      </c>
      <c r="O886" s="17">
        <f xml:space="preserve"> (Tabla1[[#This Row],[Unit_Price]] - Tabla1[[#This Row],[Unit_Cost]] ) * Tabla1[[#This Row],[Quantity_Sold]]</f>
        <v>7844.3400000000111</v>
      </c>
      <c r="P886" s="12">
        <f>Tabla1[[#This Row],[Profit]] / Tabla1[[#This Row],[Sales_Calculated]]</f>
        <v>4.0571455525288666E-2</v>
      </c>
      <c r="Q886" s="20">
        <f xml:space="preserve"> Tabla1[[#This Row],[Unit_Price]] * Tabla1[[#This Row],[Quantity_Sold]]</f>
        <v>193346.28000000003</v>
      </c>
    </row>
    <row r="887" spans="1:17" x14ac:dyDescent="0.3">
      <c r="A887" s="2">
        <v>1010</v>
      </c>
      <c r="B887" s="1">
        <v>45014</v>
      </c>
      <c r="C887" s="8" t="s">
        <v>42</v>
      </c>
      <c r="D887" s="8" t="s">
        <v>25</v>
      </c>
      <c r="E887" s="6">
        <v>3329.91</v>
      </c>
      <c r="F887" s="2">
        <v>49</v>
      </c>
      <c r="G887" s="8" t="s">
        <v>26</v>
      </c>
      <c r="H887" s="6">
        <v>1150.3</v>
      </c>
      <c r="I887" s="6">
        <v>1306.02</v>
      </c>
      <c r="J887" s="8" t="s">
        <v>30</v>
      </c>
      <c r="K887" s="12">
        <v>0.06</v>
      </c>
      <c r="L887" s="8" t="s">
        <v>31</v>
      </c>
      <c r="M887" s="8" t="s">
        <v>22</v>
      </c>
      <c r="N887" s="10" t="s">
        <v>43</v>
      </c>
      <c r="O887" s="17">
        <f xml:space="preserve"> (Tabla1[[#This Row],[Unit_Price]] - Tabla1[[#This Row],[Unit_Cost]] ) * Tabla1[[#This Row],[Quantity_Sold]]</f>
        <v>7630.2800000000016</v>
      </c>
      <c r="P887" s="12">
        <f>Tabla1[[#This Row],[Profit]] / Tabla1[[#This Row],[Sales_Calculated]]</f>
        <v>0.11923247729743805</v>
      </c>
      <c r="Q887" s="20">
        <f xml:space="preserve"> Tabla1[[#This Row],[Unit_Price]] * Tabla1[[#This Row],[Quantity_Sold]]</f>
        <v>63994.979999999996</v>
      </c>
    </row>
    <row r="888" spans="1:17" x14ac:dyDescent="0.3">
      <c r="A888" s="2">
        <v>1056</v>
      </c>
      <c r="B888" s="1">
        <v>44967</v>
      </c>
      <c r="C888" s="8" t="s">
        <v>14</v>
      </c>
      <c r="D888" s="8" t="s">
        <v>21</v>
      </c>
      <c r="E888" s="6">
        <v>3063.9</v>
      </c>
      <c r="F888" s="2">
        <v>42</v>
      </c>
      <c r="G888" s="8" t="s">
        <v>16</v>
      </c>
      <c r="H888" s="6">
        <v>1080.1199999999999</v>
      </c>
      <c r="I888" s="6">
        <v>1424.1699999999901</v>
      </c>
      <c r="J888" s="8" t="s">
        <v>30</v>
      </c>
      <c r="K888" s="12">
        <v>0.1</v>
      </c>
      <c r="L888" s="8" t="s">
        <v>18</v>
      </c>
      <c r="M888" s="8" t="s">
        <v>19</v>
      </c>
      <c r="N888" s="10" t="s">
        <v>23</v>
      </c>
      <c r="O888" s="17">
        <f xml:space="preserve"> (Tabla1[[#This Row],[Unit_Price]] - Tabla1[[#This Row],[Unit_Cost]] ) * Tabla1[[#This Row],[Quantity_Sold]]</f>
        <v>14450.099999999587</v>
      </c>
      <c r="P888" s="12">
        <f>Tabla1[[#This Row],[Profit]] / Tabla1[[#This Row],[Sales_Calculated]]</f>
        <v>0.24157930584129181</v>
      </c>
      <c r="Q888" s="20">
        <f xml:space="preserve"> Tabla1[[#This Row],[Unit_Price]] * Tabla1[[#This Row],[Quantity_Sold]]</f>
        <v>59815.139999999585</v>
      </c>
    </row>
    <row r="889" spans="1:17" x14ac:dyDescent="0.3">
      <c r="A889" s="2">
        <v>1017</v>
      </c>
      <c r="B889" s="1">
        <v>45002</v>
      </c>
      <c r="C889" s="8" t="s">
        <v>14</v>
      </c>
      <c r="D889" s="8" t="s">
        <v>15</v>
      </c>
      <c r="E889" s="6">
        <v>2401.81</v>
      </c>
      <c r="F889" s="2">
        <v>28</v>
      </c>
      <c r="G889" s="8" t="s">
        <v>29</v>
      </c>
      <c r="H889" s="6">
        <v>3780.91</v>
      </c>
      <c r="I889" s="6">
        <v>3892.73</v>
      </c>
      <c r="J889" s="8" t="s">
        <v>17</v>
      </c>
      <c r="K889" s="12">
        <v>0.1</v>
      </c>
      <c r="L889" s="8" t="s">
        <v>18</v>
      </c>
      <c r="M889" s="8" t="s">
        <v>22</v>
      </c>
      <c r="N889" s="10" t="s">
        <v>20</v>
      </c>
      <c r="O889" s="17">
        <f xml:space="preserve"> (Tabla1[[#This Row],[Unit_Price]] - Tabla1[[#This Row],[Unit_Cost]] ) * Tabla1[[#This Row],[Quantity_Sold]]</f>
        <v>3130.9600000000046</v>
      </c>
      <c r="P889" s="12">
        <f>Tabla1[[#This Row],[Profit]] / Tabla1[[#This Row],[Sales_Calculated]]</f>
        <v>2.8725341855201918E-2</v>
      </c>
      <c r="Q889" s="20">
        <f xml:space="preserve"> Tabla1[[#This Row],[Unit_Price]] * Tabla1[[#This Row],[Quantity_Sold]]</f>
        <v>108996.44</v>
      </c>
    </row>
    <row r="890" spans="1:17" x14ac:dyDescent="0.3">
      <c r="A890" s="2">
        <v>1074</v>
      </c>
      <c r="B890" s="1">
        <v>44972</v>
      </c>
      <c r="C890" s="8" t="s">
        <v>14</v>
      </c>
      <c r="D890" s="8" t="s">
        <v>21</v>
      </c>
      <c r="E890" s="6">
        <v>1383.82</v>
      </c>
      <c r="F890" s="2">
        <v>1</v>
      </c>
      <c r="G890" s="8" t="s">
        <v>16</v>
      </c>
      <c r="H890" s="6">
        <v>1304.23</v>
      </c>
      <c r="I890" s="6">
        <v>1705.71</v>
      </c>
      <c r="J890" s="8" t="s">
        <v>17</v>
      </c>
      <c r="K890" s="12">
        <v>0.01</v>
      </c>
      <c r="L890" s="8" t="s">
        <v>18</v>
      </c>
      <c r="M890" s="8" t="s">
        <v>22</v>
      </c>
      <c r="N890" s="10" t="s">
        <v>23</v>
      </c>
      <c r="O890" s="17">
        <f xml:space="preserve"> (Tabla1[[#This Row],[Unit_Price]] - Tabla1[[#This Row],[Unit_Cost]] ) * Tabla1[[#This Row],[Quantity_Sold]]</f>
        <v>401.48</v>
      </c>
      <c r="P890" s="12">
        <f>Tabla1[[#This Row],[Profit]] / Tabla1[[#This Row],[Sales_Calculated]]</f>
        <v>0.23537412573063418</v>
      </c>
      <c r="Q890" s="20">
        <f xml:space="preserve"> Tabla1[[#This Row],[Unit_Price]] * Tabla1[[#This Row],[Quantity_Sold]]</f>
        <v>1705.71</v>
      </c>
    </row>
    <row r="891" spans="1:17" x14ac:dyDescent="0.3">
      <c r="A891" s="2">
        <v>1017</v>
      </c>
      <c r="B891" s="1">
        <v>45086</v>
      </c>
      <c r="C891" s="8" t="s">
        <v>33</v>
      </c>
      <c r="D891" s="8" t="s">
        <v>34</v>
      </c>
      <c r="E891" s="6">
        <v>2638.98</v>
      </c>
      <c r="F891" s="2">
        <v>35</v>
      </c>
      <c r="G891" s="8" t="s">
        <v>16</v>
      </c>
      <c r="H891" s="6">
        <v>4480.63</v>
      </c>
      <c r="I891" s="6">
        <v>4884.12</v>
      </c>
      <c r="J891" s="8" t="s">
        <v>30</v>
      </c>
      <c r="K891" s="12">
        <v>0.04</v>
      </c>
      <c r="L891" s="8" t="s">
        <v>18</v>
      </c>
      <c r="M891" s="8" t="s">
        <v>19</v>
      </c>
      <c r="N891" s="10" t="s">
        <v>36</v>
      </c>
      <c r="O891" s="17">
        <f xml:space="preserve"> (Tabla1[[#This Row],[Unit_Price]] - Tabla1[[#This Row],[Unit_Cost]] ) * Tabla1[[#This Row],[Quantity_Sold]]</f>
        <v>14122.149999999992</v>
      </c>
      <c r="P891" s="12">
        <f>Tabla1[[#This Row],[Profit]] / Tabla1[[#This Row],[Sales_Calculated]]</f>
        <v>8.2612630320303318E-2</v>
      </c>
      <c r="Q891" s="20">
        <f xml:space="preserve"> Tabla1[[#This Row],[Unit_Price]] * Tabla1[[#This Row],[Quantity_Sold]]</f>
        <v>170944.19999999998</v>
      </c>
    </row>
    <row r="892" spans="1:17" x14ac:dyDescent="0.3">
      <c r="A892" s="2">
        <v>1084</v>
      </c>
      <c r="B892" s="1">
        <v>45006</v>
      </c>
      <c r="C892" s="8" t="s">
        <v>38</v>
      </c>
      <c r="D892" s="8" t="s">
        <v>25</v>
      </c>
      <c r="E892" s="6">
        <v>3617.67</v>
      </c>
      <c r="F892" s="2">
        <v>40</v>
      </c>
      <c r="G892" s="8" t="s">
        <v>26</v>
      </c>
      <c r="H892" s="6">
        <v>2890.95</v>
      </c>
      <c r="I892" s="6">
        <v>3104.43</v>
      </c>
      <c r="J892" s="8" t="s">
        <v>30</v>
      </c>
      <c r="K892" s="12">
        <v>0.21</v>
      </c>
      <c r="L892" s="8" t="s">
        <v>27</v>
      </c>
      <c r="M892" s="8" t="s">
        <v>19</v>
      </c>
      <c r="N892" s="10" t="s">
        <v>39</v>
      </c>
      <c r="O892" s="17">
        <f xml:space="preserve"> (Tabla1[[#This Row],[Unit_Price]] - Tabla1[[#This Row],[Unit_Cost]] ) * Tabla1[[#This Row],[Quantity_Sold]]</f>
        <v>8539.2000000000007</v>
      </c>
      <c r="P892" s="12">
        <f>Tabla1[[#This Row],[Profit]] / Tabla1[[#This Row],[Sales_Calculated]]</f>
        <v>6.8766246943883419E-2</v>
      </c>
      <c r="Q892" s="20">
        <f xml:space="preserve"> Tabla1[[#This Row],[Unit_Price]] * Tabla1[[#This Row],[Quantity_Sold]]</f>
        <v>124177.2</v>
      </c>
    </row>
    <row r="893" spans="1:17" x14ac:dyDescent="0.3">
      <c r="A893" s="2">
        <v>1088</v>
      </c>
      <c r="B893" s="1">
        <v>45236</v>
      </c>
      <c r="C893" s="8" t="s">
        <v>24</v>
      </c>
      <c r="D893" s="8" t="s">
        <v>25</v>
      </c>
      <c r="E893" s="6">
        <v>6772.54</v>
      </c>
      <c r="F893" s="2">
        <v>8</v>
      </c>
      <c r="G893" s="8" t="s">
        <v>26</v>
      </c>
      <c r="H893" s="6">
        <v>1786.35</v>
      </c>
      <c r="I893" s="6">
        <v>1935.29</v>
      </c>
      <c r="J893" s="8" t="s">
        <v>30</v>
      </c>
      <c r="K893" s="12">
        <v>0.04</v>
      </c>
      <c r="L893" s="8" t="s">
        <v>18</v>
      </c>
      <c r="M893" s="8" t="s">
        <v>19</v>
      </c>
      <c r="N893" s="10" t="s">
        <v>28</v>
      </c>
      <c r="O893" s="17">
        <f xml:space="preserve"> (Tabla1[[#This Row],[Unit_Price]] - Tabla1[[#This Row],[Unit_Cost]] ) * Tabla1[[#This Row],[Quantity_Sold]]</f>
        <v>1191.5200000000004</v>
      </c>
      <c r="P893" s="12">
        <f>Tabla1[[#This Row],[Profit]] / Tabla1[[#This Row],[Sales_Calculated]]</f>
        <v>7.6960042164223474E-2</v>
      </c>
      <c r="Q893" s="20">
        <f xml:space="preserve"> Tabla1[[#This Row],[Unit_Price]] * Tabla1[[#This Row],[Quantity_Sold]]</f>
        <v>15482.32</v>
      </c>
    </row>
    <row r="894" spans="1:17" x14ac:dyDescent="0.3">
      <c r="A894" s="2">
        <v>1069</v>
      </c>
      <c r="B894" s="1">
        <v>45012</v>
      </c>
      <c r="C894" s="8" t="s">
        <v>24</v>
      </c>
      <c r="D894" s="8" t="s">
        <v>34</v>
      </c>
      <c r="E894" s="6">
        <v>719.39</v>
      </c>
      <c r="F894" s="2">
        <v>47</v>
      </c>
      <c r="G894" s="8" t="s">
        <v>35</v>
      </c>
      <c r="H894" s="6">
        <v>4171.83</v>
      </c>
      <c r="I894" s="6">
        <v>4320.93</v>
      </c>
      <c r="J894" s="8" t="s">
        <v>30</v>
      </c>
      <c r="K894" s="12">
        <v>7.0000000000000007E-2</v>
      </c>
      <c r="L894" s="8" t="s">
        <v>18</v>
      </c>
      <c r="M894" s="8" t="s">
        <v>19</v>
      </c>
      <c r="N894" s="10" t="s">
        <v>50</v>
      </c>
      <c r="O894" s="17">
        <f xml:space="preserve"> (Tabla1[[#This Row],[Unit_Price]] - Tabla1[[#This Row],[Unit_Cost]] ) * Tabla1[[#This Row],[Quantity_Sold]]</f>
        <v>7007.7000000000171</v>
      </c>
      <c r="P894" s="12">
        <f>Tabla1[[#This Row],[Profit]] / Tabla1[[#This Row],[Sales_Calculated]]</f>
        <v>3.45064604147719E-2</v>
      </c>
      <c r="Q894" s="20">
        <f xml:space="preserve"> Tabla1[[#This Row],[Unit_Price]] * Tabla1[[#This Row],[Quantity_Sold]]</f>
        <v>203083.71000000002</v>
      </c>
    </row>
    <row r="895" spans="1:17" x14ac:dyDescent="0.3">
      <c r="A895" s="2">
        <v>1034</v>
      </c>
      <c r="B895" s="1">
        <v>45018</v>
      </c>
      <c r="C895" s="8" t="s">
        <v>33</v>
      </c>
      <c r="D895" s="8" t="s">
        <v>21</v>
      </c>
      <c r="E895" s="6">
        <v>2184.02</v>
      </c>
      <c r="F895" s="2">
        <v>7</v>
      </c>
      <c r="G895" s="8" t="s">
        <v>35</v>
      </c>
      <c r="H895" s="6">
        <v>2492.36</v>
      </c>
      <c r="I895" s="6">
        <v>2738.68</v>
      </c>
      <c r="J895" s="8" t="s">
        <v>17</v>
      </c>
      <c r="K895" s="12">
        <v>0.11</v>
      </c>
      <c r="L895" s="8" t="s">
        <v>18</v>
      </c>
      <c r="M895" s="8" t="s">
        <v>19</v>
      </c>
      <c r="N895" s="10" t="s">
        <v>37</v>
      </c>
      <c r="O895" s="17">
        <f xml:space="preserve"> (Tabla1[[#This Row],[Unit_Price]] - Tabla1[[#This Row],[Unit_Cost]] ) * Tabla1[[#This Row],[Quantity_Sold]]</f>
        <v>1724.239999999998</v>
      </c>
      <c r="P895" s="12">
        <f>Tabla1[[#This Row],[Profit]] / Tabla1[[#This Row],[Sales_Calculated]]</f>
        <v>8.9941139527071334E-2</v>
      </c>
      <c r="Q895" s="20">
        <f xml:space="preserve"> Tabla1[[#This Row],[Unit_Price]] * Tabla1[[#This Row],[Quantity_Sold]]</f>
        <v>19170.759999999998</v>
      </c>
    </row>
    <row r="896" spans="1:17" x14ac:dyDescent="0.3">
      <c r="A896" s="2">
        <v>1006</v>
      </c>
      <c r="B896" s="1">
        <v>45074</v>
      </c>
      <c r="C896" s="8" t="s">
        <v>14</v>
      </c>
      <c r="D896" s="8" t="s">
        <v>15</v>
      </c>
      <c r="E896" s="6">
        <v>8109.33</v>
      </c>
      <c r="F896" s="2">
        <v>11</v>
      </c>
      <c r="G896" s="8" t="s">
        <v>26</v>
      </c>
      <c r="H896" s="6">
        <v>4562.58</v>
      </c>
      <c r="I896" s="6">
        <v>4925.17</v>
      </c>
      <c r="J896" s="8" t="s">
        <v>30</v>
      </c>
      <c r="K896" s="12">
        <v>0.23</v>
      </c>
      <c r="L896" s="8" t="s">
        <v>18</v>
      </c>
      <c r="M896" s="8" t="s">
        <v>22</v>
      </c>
      <c r="N896" s="10" t="s">
        <v>20</v>
      </c>
      <c r="O896" s="17">
        <f xml:space="preserve"> (Tabla1[[#This Row],[Unit_Price]] - Tabla1[[#This Row],[Unit_Cost]] ) * Tabla1[[#This Row],[Quantity_Sold]]</f>
        <v>3988.4900000000016</v>
      </c>
      <c r="P896" s="12">
        <f>Tabla1[[#This Row],[Profit]] / Tabla1[[#This Row],[Sales_Calculated]]</f>
        <v>7.3619793834527561E-2</v>
      </c>
      <c r="Q896" s="20">
        <f xml:space="preserve"> Tabla1[[#This Row],[Unit_Price]] * Tabla1[[#This Row],[Quantity_Sold]]</f>
        <v>54176.87</v>
      </c>
    </row>
    <row r="897" spans="1:17" x14ac:dyDescent="0.3">
      <c r="A897" s="2">
        <v>1053</v>
      </c>
      <c r="B897" s="1">
        <v>45087</v>
      </c>
      <c r="C897" s="8" t="s">
        <v>33</v>
      </c>
      <c r="D897" s="8" t="s">
        <v>34</v>
      </c>
      <c r="E897" s="6">
        <v>1554.53</v>
      </c>
      <c r="F897" s="2">
        <v>39</v>
      </c>
      <c r="G897" s="8" t="s">
        <v>16</v>
      </c>
      <c r="H897" s="6">
        <v>4643.67</v>
      </c>
      <c r="I897" s="6">
        <v>4829.5200000000004</v>
      </c>
      <c r="J897" s="8" t="s">
        <v>17</v>
      </c>
      <c r="K897" s="12">
        <v>0.17</v>
      </c>
      <c r="L897" s="8" t="s">
        <v>27</v>
      </c>
      <c r="M897" s="8" t="s">
        <v>19</v>
      </c>
      <c r="N897" s="10" t="s">
        <v>36</v>
      </c>
      <c r="O897" s="17">
        <f xml:space="preserve"> (Tabla1[[#This Row],[Unit_Price]] - Tabla1[[#This Row],[Unit_Cost]] ) * Tabla1[[#This Row],[Quantity_Sold]]</f>
        <v>7248.1500000000142</v>
      </c>
      <c r="P897" s="12">
        <f>Tabla1[[#This Row],[Profit]] / Tabla1[[#This Row],[Sales_Calculated]]</f>
        <v>3.8482085176166643E-2</v>
      </c>
      <c r="Q897" s="20">
        <f xml:space="preserve"> Tabla1[[#This Row],[Unit_Price]] * Tabla1[[#This Row],[Quantity_Sold]]</f>
        <v>188351.28000000003</v>
      </c>
    </row>
    <row r="898" spans="1:17" x14ac:dyDescent="0.3">
      <c r="A898" s="2">
        <v>1066</v>
      </c>
      <c r="B898" s="1">
        <v>45128</v>
      </c>
      <c r="C898" s="8" t="s">
        <v>33</v>
      </c>
      <c r="D898" s="8" t="s">
        <v>34</v>
      </c>
      <c r="E898" s="6">
        <v>3492.19</v>
      </c>
      <c r="F898" s="2">
        <v>4</v>
      </c>
      <c r="G898" s="8" t="s">
        <v>16</v>
      </c>
      <c r="H898" s="6">
        <v>868.83</v>
      </c>
      <c r="I898" s="6">
        <v>1177.75</v>
      </c>
      <c r="J898" s="8" t="s">
        <v>17</v>
      </c>
      <c r="K898" s="12">
        <v>0.21</v>
      </c>
      <c r="L898" s="8" t="s">
        <v>31</v>
      </c>
      <c r="M898" s="8" t="s">
        <v>22</v>
      </c>
      <c r="N898" s="10" t="s">
        <v>36</v>
      </c>
      <c r="O898" s="17">
        <f xml:space="preserve"> (Tabla1[[#This Row],[Unit_Price]] - Tabla1[[#This Row],[Unit_Cost]] ) * Tabla1[[#This Row],[Quantity_Sold]]</f>
        <v>1235.6799999999998</v>
      </c>
      <c r="P898" s="12">
        <f>Tabla1[[#This Row],[Profit]] / Tabla1[[#This Row],[Sales_Calculated]]</f>
        <v>0.26229675228189342</v>
      </c>
      <c r="Q898" s="20">
        <f xml:space="preserve"> Tabla1[[#This Row],[Unit_Price]] * Tabla1[[#This Row],[Quantity_Sold]]</f>
        <v>4711</v>
      </c>
    </row>
    <row r="899" spans="1:17" x14ac:dyDescent="0.3">
      <c r="A899" s="2">
        <v>1077</v>
      </c>
      <c r="B899" s="1">
        <v>45168</v>
      </c>
      <c r="C899" s="8" t="s">
        <v>42</v>
      </c>
      <c r="D899" s="8" t="s">
        <v>21</v>
      </c>
      <c r="E899" s="6">
        <v>8660.1200000000008</v>
      </c>
      <c r="F899" s="2">
        <v>25</v>
      </c>
      <c r="G899" s="8" t="s">
        <v>35</v>
      </c>
      <c r="H899" s="6">
        <v>61.5</v>
      </c>
      <c r="I899" s="6">
        <v>258.91999999999899</v>
      </c>
      <c r="J899" s="8" t="s">
        <v>30</v>
      </c>
      <c r="K899" s="12">
        <v>0.17</v>
      </c>
      <c r="L899" s="8" t="s">
        <v>31</v>
      </c>
      <c r="M899" s="8" t="s">
        <v>19</v>
      </c>
      <c r="N899" s="10" t="s">
        <v>51</v>
      </c>
      <c r="O899" s="17">
        <f xml:space="preserve"> (Tabla1[[#This Row],[Unit_Price]] - Tabla1[[#This Row],[Unit_Cost]] ) * Tabla1[[#This Row],[Quantity_Sold]]</f>
        <v>4935.4999999999745</v>
      </c>
      <c r="P899" s="12">
        <f>Tabla1[[#This Row],[Profit]] / Tabla1[[#This Row],[Sales_Calculated]]</f>
        <v>0.76247489572068494</v>
      </c>
      <c r="Q899" s="20">
        <f xml:space="preserve"> Tabla1[[#This Row],[Unit_Price]] * Tabla1[[#This Row],[Quantity_Sold]]</f>
        <v>6472.9999999999745</v>
      </c>
    </row>
    <row r="900" spans="1:17" x14ac:dyDescent="0.3">
      <c r="A900" s="2">
        <v>1043</v>
      </c>
      <c r="B900" s="1">
        <v>45279</v>
      </c>
      <c r="C900" s="8" t="s">
        <v>38</v>
      </c>
      <c r="D900" s="8" t="s">
        <v>25</v>
      </c>
      <c r="E900" s="6">
        <v>1633.76</v>
      </c>
      <c r="F900" s="2">
        <v>12</v>
      </c>
      <c r="G900" s="8" t="s">
        <v>35</v>
      </c>
      <c r="H900" s="6">
        <v>4920.46</v>
      </c>
      <c r="I900" s="6">
        <v>5079.68</v>
      </c>
      <c r="J900" s="8" t="s">
        <v>30</v>
      </c>
      <c r="K900" s="12">
        <v>0.21</v>
      </c>
      <c r="L900" s="8" t="s">
        <v>31</v>
      </c>
      <c r="M900" s="8" t="s">
        <v>22</v>
      </c>
      <c r="N900" s="10" t="s">
        <v>39</v>
      </c>
      <c r="O900" s="17">
        <f xml:space="preserve"> (Tabla1[[#This Row],[Unit_Price]] - Tabla1[[#This Row],[Unit_Cost]] ) * Tabla1[[#This Row],[Quantity_Sold]]</f>
        <v>1910.6400000000031</v>
      </c>
      <c r="P900" s="12">
        <f>Tabla1[[#This Row],[Profit]] / Tabla1[[#This Row],[Sales_Calculated]]</f>
        <v>3.1344494141363283E-2</v>
      </c>
      <c r="Q900" s="20">
        <f xml:space="preserve"> Tabla1[[#This Row],[Unit_Price]] * Tabla1[[#This Row],[Quantity_Sold]]</f>
        <v>60956.160000000003</v>
      </c>
    </row>
    <row r="901" spans="1:17" x14ac:dyDescent="0.3">
      <c r="A901" s="2">
        <v>1075</v>
      </c>
      <c r="B901" s="1">
        <v>44928</v>
      </c>
      <c r="C901" s="8" t="s">
        <v>24</v>
      </c>
      <c r="D901" s="8" t="s">
        <v>21</v>
      </c>
      <c r="E901" s="6">
        <v>919.09</v>
      </c>
      <c r="F901" s="2">
        <v>26</v>
      </c>
      <c r="G901" s="8" t="s">
        <v>35</v>
      </c>
      <c r="H901" s="6">
        <v>4535.38</v>
      </c>
      <c r="I901" s="6">
        <v>4557.5600000000004</v>
      </c>
      <c r="J901" s="8" t="s">
        <v>30</v>
      </c>
      <c r="K901" s="12">
        <v>0</v>
      </c>
      <c r="L901" s="8" t="s">
        <v>31</v>
      </c>
      <c r="M901" s="8" t="s">
        <v>19</v>
      </c>
      <c r="N901" s="10" t="s">
        <v>47</v>
      </c>
      <c r="O901" s="17">
        <f xml:space="preserve"> (Tabla1[[#This Row],[Unit_Price]] - Tabla1[[#This Row],[Unit_Cost]] ) * Tabla1[[#This Row],[Quantity_Sold]]</f>
        <v>576.68000000000757</v>
      </c>
      <c r="P901" s="12">
        <f>Tabla1[[#This Row],[Profit]] / Tabla1[[#This Row],[Sales_Calculated]]</f>
        <v>4.8666391665716496E-3</v>
      </c>
      <c r="Q901" s="20">
        <f xml:space="preserve"> Tabla1[[#This Row],[Unit_Price]] * Tabla1[[#This Row],[Quantity_Sold]]</f>
        <v>118496.56000000001</v>
      </c>
    </row>
    <row r="902" spans="1:17" x14ac:dyDescent="0.3">
      <c r="A902" s="2">
        <v>1023</v>
      </c>
      <c r="B902" s="1">
        <v>45151</v>
      </c>
      <c r="C902" s="8" t="s">
        <v>14</v>
      </c>
      <c r="D902" s="8" t="s">
        <v>34</v>
      </c>
      <c r="E902" s="6">
        <v>4896.93</v>
      </c>
      <c r="F902" s="2">
        <v>38</v>
      </c>
      <c r="G902" s="8" t="s">
        <v>29</v>
      </c>
      <c r="H902" s="6">
        <v>324.45</v>
      </c>
      <c r="I902" s="6">
        <v>336.37</v>
      </c>
      <c r="J902" s="8" t="s">
        <v>30</v>
      </c>
      <c r="K902" s="12">
        <v>0.28000000000000003</v>
      </c>
      <c r="L902" s="8" t="s">
        <v>31</v>
      </c>
      <c r="M902" s="8" t="s">
        <v>22</v>
      </c>
      <c r="N902" s="10" t="s">
        <v>46</v>
      </c>
      <c r="O902" s="17">
        <f xml:space="preserve"> (Tabla1[[#This Row],[Unit_Price]] - Tabla1[[#This Row],[Unit_Cost]] ) * Tabla1[[#This Row],[Quantity_Sold]]</f>
        <v>452.9600000000006</v>
      </c>
      <c r="P902" s="12">
        <f>Tabla1[[#This Row],[Profit]] / Tabla1[[#This Row],[Sales_Calculated]]</f>
        <v>3.5437167404941038E-2</v>
      </c>
      <c r="Q902" s="20">
        <f xml:space="preserve"> Tabla1[[#This Row],[Unit_Price]] * Tabla1[[#This Row],[Quantity_Sold]]</f>
        <v>12782.06</v>
      </c>
    </row>
    <row r="903" spans="1:17" x14ac:dyDescent="0.3">
      <c r="A903" s="2">
        <v>1055</v>
      </c>
      <c r="B903" s="1">
        <v>45215</v>
      </c>
      <c r="C903" s="8" t="s">
        <v>24</v>
      </c>
      <c r="D903" s="8" t="s">
        <v>34</v>
      </c>
      <c r="E903" s="6">
        <v>3093.95</v>
      </c>
      <c r="F903" s="2">
        <v>46</v>
      </c>
      <c r="G903" s="8" t="s">
        <v>29</v>
      </c>
      <c r="H903" s="6">
        <v>4173.5200000000004</v>
      </c>
      <c r="I903" s="6">
        <v>4294.8500000000004</v>
      </c>
      <c r="J903" s="8" t="s">
        <v>17</v>
      </c>
      <c r="K903" s="12">
        <v>0.03</v>
      </c>
      <c r="L903" s="8" t="s">
        <v>27</v>
      </c>
      <c r="M903" s="8" t="s">
        <v>22</v>
      </c>
      <c r="N903" s="10" t="s">
        <v>50</v>
      </c>
      <c r="O903" s="17">
        <f xml:space="preserve"> (Tabla1[[#This Row],[Unit_Price]] - Tabla1[[#This Row],[Unit_Cost]] ) * Tabla1[[#This Row],[Quantity_Sold]]</f>
        <v>5581.1799999999967</v>
      </c>
      <c r="P903" s="12">
        <f>Tabla1[[#This Row],[Profit]] / Tabla1[[#This Row],[Sales_Calculated]]</f>
        <v>2.8250113508038681E-2</v>
      </c>
      <c r="Q903" s="20">
        <f xml:space="preserve"> Tabla1[[#This Row],[Unit_Price]] * Tabla1[[#This Row],[Quantity_Sold]]</f>
        <v>197563.1</v>
      </c>
    </row>
    <row r="904" spans="1:17" x14ac:dyDescent="0.3">
      <c r="A904" s="2">
        <v>1080</v>
      </c>
      <c r="B904" s="1">
        <v>45159</v>
      </c>
      <c r="C904" s="8" t="s">
        <v>24</v>
      </c>
      <c r="D904" s="8" t="s">
        <v>25</v>
      </c>
      <c r="E904" s="6">
        <v>5677.74</v>
      </c>
      <c r="F904" s="2">
        <v>12</v>
      </c>
      <c r="G904" s="8" t="s">
        <v>35</v>
      </c>
      <c r="H904" s="6">
        <v>2316.13</v>
      </c>
      <c r="I904" s="6">
        <v>2525.27</v>
      </c>
      <c r="J904" s="8" t="s">
        <v>17</v>
      </c>
      <c r="K904" s="12">
        <v>0.12</v>
      </c>
      <c r="L904" s="8" t="s">
        <v>31</v>
      </c>
      <c r="M904" s="8" t="s">
        <v>22</v>
      </c>
      <c r="N904" s="10" t="s">
        <v>28</v>
      </c>
      <c r="O904" s="17">
        <f xml:space="preserve"> (Tabla1[[#This Row],[Unit_Price]] - Tabla1[[#This Row],[Unit_Cost]] ) * Tabla1[[#This Row],[Quantity_Sold]]</f>
        <v>2509.6799999999985</v>
      </c>
      <c r="P904" s="12">
        <f>Tabla1[[#This Row],[Profit]] / Tabla1[[#This Row],[Sales_Calculated]]</f>
        <v>8.2818866893441048E-2</v>
      </c>
      <c r="Q904" s="20">
        <f xml:space="preserve"> Tabla1[[#This Row],[Unit_Price]] * Tabla1[[#This Row],[Quantity_Sold]]</f>
        <v>30303.239999999998</v>
      </c>
    </row>
    <row r="905" spans="1:17" x14ac:dyDescent="0.3">
      <c r="A905" s="2">
        <v>1095</v>
      </c>
      <c r="B905" s="1">
        <v>45003</v>
      </c>
      <c r="C905" s="8" t="s">
        <v>38</v>
      </c>
      <c r="D905" s="8" t="s">
        <v>25</v>
      </c>
      <c r="E905" s="6">
        <v>8057.67</v>
      </c>
      <c r="F905" s="2">
        <v>43</v>
      </c>
      <c r="G905" s="8" t="s">
        <v>16</v>
      </c>
      <c r="H905" s="6">
        <v>1331.86</v>
      </c>
      <c r="I905" s="6">
        <v>1758.98</v>
      </c>
      <c r="J905" s="8" t="s">
        <v>17</v>
      </c>
      <c r="K905" s="12">
        <v>0.23</v>
      </c>
      <c r="L905" s="8" t="s">
        <v>27</v>
      </c>
      <c r="M905" s="8" t="s">
        <v>22</v>
      </c>
      <c r="N905" s="10" t="s">
        <v>39</v>
      </c>
      <c r="O905" s="17">
        <f xml:space="preserve"> (Tabla1[[#This Row],[Unit_Price]] - Tabla1[[#This Row],[Unit_Cost]] ) * Tabla1[[#This Row],[Quantity_Sold]]</f>
        <v>18366.160000000003</v>
      </c>
      <c r="P905" s="12">
        <f>Tabla1[[#This Row],[Profit]] / Tabla1[[#This Row],[Sales_Calculated]]</f>
        <v>0.2428225448839669</v>
      </c>
      <c r="Q905" s="20">
        <f xml:space="preserve"> Tabla1[[#This Row],[Unit_Price]] * Tabla1[[#This Row],[Quantity_Sold]]</f>
        <v>75636.14</v>
      </c>
    </row>
    <row r="906" spans="1:17" x14ac:dyDescent="0.3">
      <c r="A906" s="2">
        <v>1075</v>
      </c>
      <c r="B906" s="1">
        <v>45042</v>
      </c>
      <c r="C906" s="8" t="s">
        <v>24</v>
      </c>
      <c r="D906" s="8" t="s">
        <v>25</v>
      </c>
      <c r="E906" s="6">
        <v>1457.77</v>
      </c>
      <c r="F906" s="2">
        <v>37</v>
      </c>
      <c r="G906" s="8" t="s">
        <v>35</v>
      </c>
      <c r="H906" s="6">
        <v>4399.8</v>
      </c>
      <c r="I906" s="6">
        <v>4801.0600000000004</v>
      </c>
      <c r="J906" s="8" t="s">
        <v>30</v>
      </c>
      <c r="K906" s="12">
        <v>0.13</v>
      </c>
      <c r="L906" s="8" t="s">
        <v>27</v>
      </c>
      <c r="M906" s="8" t="s">
        <v>22</v>
      </c>
      <c r="N906" s="10" t="s">
        <v>28</v>
      </c>
      <c r="O906" s="17">
        <f xml:space="preserve"> (Tabla1[[#This Row],[Unit_Price]] - Tabla1[[#This Row],[Unit_Cost]] ) * Tabla1[[#This Row],[Quantity_Sold]]</f>
        <v>14846.620000000008</v>
      </c>
      <c r="P906" s="12">
        <f>Tabla1[[#This Row],[Profit]] / Tabla1[[#This Row],[Sales_Calculated]]</f>
        <v>8.3577376662653705E-2</v>
      </c>
      <c r="Q906" s="20">
        <f xml:space="preserve"> Tabla1[[#This Row],[Unit_Price]] * Tabla1[[#This Row],[Quantity_Sold]]</f>
        <v>177639.22</v>
      </c>
    </row>
    <row r="907" spans="1:17" x14ac:dyDescent="0.3">
      <c r="A907" s="2">
        <v>1016</v>
      </c>
      <c r="B907" s="1">
        <v>45080</v>
      </c>
      <c r="C907" s="8" t="s">
        <v>24</v>
      </c>
      <c r="D907" s="8" t="s">
        <v>21</v>
      </c>
      <c r="E907" s="6">
        <v>5848.92</v>
      </c>
      <c r="F907" s="2">
        <v>46</v>
      </c>
      <c r="G907" s="8" t="s">
        <v>29</v>
      </c>
      <c r="H907" s="6">
        <v>1023.5</v>
      </c>
      <c r="I907" s="6">
        <v>1164.4100000000001</v>
      </c>
      <c r="J907" s="8" t="s">
        <v>17</v>
      </c>
      <c r="K907" s="12">
        <v>0.28000000000000003</v>
      </c>
      <c r="L907" s="8" t="s">
        <v>31</v>
      </c>
      <c r="M907" s="8" t="s">
        <v>22</v>
      </c>
      <c r="N907" s="10" t="s">
        <v>47</v>
      </c>
      <c r="O907" s="17">
        <f xml:space="preserve"> (Tabla1[[#This Row],[Unit_Price]] - Tabla1[[#This Row],[Unit_Cost]] ) * Tabla1[[#This Row],[Quantity_Sold]]</f>
        <v>6481.8600000000042</v>
      </c>
      <c r="P907" s="12">
        <f>Tabla1[[#This Row],[Profit]] / Tabla1[[#This Row],[Sales_Calculated]]</f>
        <v>0.12101407579804373</v>
      </c>
      <c r="Q907" s="20">
        <f xml:space="preserve"> Tabla1[[#This Row],[Unit_Price]] * Tabla1[[#This Row],[Quantity_Sold]]</f>
        <v>53562.86</v>
      </c>
    </row>
    <row r="908" spans="1:17" x14ac:dyDescent="0.3">
      <c r="A908" s="2">
        <v>1008</v>
      </c>
      <c r="B908" s="1">
        <v>45029</v>
      </c>
      <c r="C908" s="8" t="s">
        <v>33</v>
      </c>
      <c r="D908" s="8" t="s">
        <v>25</v>
      </c>
      <c r="E908" s="6">
        <v>5104.54</v>
      </c>
      <c r="F908" s="2">
        <v>24</v>
      </c>
      <c r="G908" s="8" t="s">
        <v>16</v>
      </c>
      <c r="H908" s="6">
        <v>4739.13</v>
      </c>
      <c r="I908" s="6">
        <v>4868.95</v>
      </c>
      <c r="J908" s="8" t="s">
        <v>30</v>
      </c>
      <c r="K908" s="12">
        <v>0.14000000000000001</v>
      </c>
      <c r="L908" s="8" t="s">
        <v>31</v>
      </c>
      <c r="M908" s="8" t="s">
        <v>22</v>
      </c>
      <c r="N908" s="10" t="s">
        <v>44</v>
      </c>
      <c r="O908" s="17">
        <f xml:space="preserve"> (Tabla1[[#This Row],[Unit_Price]] - Tabla1[[#This Row],[Unit_Cost]] ) * Tabla1[[#This Row],[Quantity_Sold]]</f>
        <v>3115.679999999993</v>
      </c>
      <c r="P908" s="12">
        <f>Tabla1[[#This Row],[Profit]] / Tabla1[[#This Row],[Sales_Calculated]]</f>
        <v>2.6662832848971488E-2</v>
      </c>
      <c r="Q908" s="20">
        <f xml:space="preserve"> Tabla1[[#This Row],[Unit_Price]] * Tabla1[[#This Row],[Quantity_Sold]]</f>
        <v>116854.79999999999</v>
      </c>
    </row>
    <row r="909" spans="1:17" x14ac:dyDescent="0.3">
      <c r="A909" s="2">
        <v>1004</v>
      </c>
      <c r="B909" s="1">
        <v>45120</v>
      </c>
      <c r="C909" s="8" t="s">
        <v>38</v>
      </c>
      <c r="D909" s="8" t="s">
        <v>34</v>
      </c>
      <c r="E909" s="6">
        <v>1526.38</v>
      </c>
      <c r="F909" s="2">
        <v>16</v>
      </c>
      <c r="G909" s="8" t="s">
        <v>29</v>
      </c>
      <c r="H909" s="6">
        <v>1067.83</v>
      </c>
      <c r="I909" s="6">
        <v>1189.22</v>
      </c>
      <c r="J909" s="8" t="s">
        <v>17</v>
      </c>
      <c r="K909" s="12">
        <v>0.26</v>
      </c>
      <c r="L909" s="8" t="s">
        <v>31</v>
      </c>
      <c r="M909" s="8" t="s">
        <v>22</v>
      </c>
      <c r="N909" s="10" t="s">
        <v>48</v>
      </c>
      <c r="O909" s="17">
        <f xml:space="preserve"> (Tabla1[[#This Row],[Unit_Price]] - Tabla1[[#This Row],[Unit_Cost]] ) * Tabla1[[#This Row],[Quantity_Sold]]</f>
        <v>1942.2400000000016</v>
      </c>
      <c r="P909" s="12">
        <f>Tabla1[[#This Row],[Profit]] / Tabla1[[#This Row],[Sales_Calculated]]</f>
        <v>0.10207530986697171</v>
      </c>
      <c r="Q909" s="20">
        <f xml:space="preserve"> Tabla1[[#This Row],[Unit_Price]] * Tabla1[[#This Row],[Quantity_Sold]]</f>
        <v>19027.52</v>
      </c>
    </row>
    <row r="910" spans="1:17" x14ac:dyDescent="0.3">
      <c r="A910" s="2">
        <v>1004</v>
      </c>
      <c r="B910" s="1">
        <v>45092</v>
      </c>
      <c r="C910" s="8" t="s">
        <v>42</v>
      </c>
      <c r="D910" s="8" t="s">
        <v>34</v>
      </c>
      <c r="E910" s="6">
        <v>6277.59</v>
      </c>
      <c r="F910" s="2">
        <v>13</v>
      </c>
      <c r="G910" s="8" t="s">
        <v>16</v>
      </c>
      <c r="H910" s="6">
        <v>3087.73</v>
      </c>
      <c r="I910" s="6">
        <v>3263.96</v>
      </c>
      <c r="J910" s="8" t="s">
        <v>30</v>
      </c>
      <c r="K910" s="12">
        <v>0.24</v>
      </c>
      <c r="L910" s="8" t="s">
        <v>18</v>
      </c>
      <c r="M910" s="8" t="s">
        <v>22</v>
      </c>
      <c r="N910" s="10" t="s">
        <v>52</v>
      </c>
      <c r="O910" s="17">
        <f xml:space="preserve"> (Tabla1[[#This Row],[Unit_Price]] - Tabla1[[#This Row],[Unit_Cost]] ) * Tabla1[[#This Row],[Quantity_Sold]]</f>
        <v>2290.9900000000002</v>
      </c>
      <c r="P910" s="12">
        <f>Tabla1[[#This Row],[Profit]] / Tabla1[[#This Row],[Sales_Calculated]]</f>
        <v>5.3992695988921431E-2</v>
      </c>
      <c r="Q910" s="20">
        <f xml:space="preserve"> Tabla1[[#This Row],[Unit_Price]] * Tabla1[[#This Row],[Quantity_Sold]]</f>
        <v>42431.48</v>
      </c>
    </row>
    <row r="911" spans="1:17" x14ac:dyDescent="0.3">
      <c r="A911" s="2">
        <v>1056</v>
      </c>
      <c r="B911" s="1">
        <v>45285</v>
      </c>
      <c r="C911" s="8" t="s">
        <v>14</v>
      </c>
      <c r="D911" s="8" t="s">
        <v>15</v>
      </c>
      <c r="E911" s="6">
        <v>2809.04</v>
      </c>
      <c r="F911" s="2">
        <v>25</v>
      </c>
      <c r="G911" s="8" t="s">
        <v>29</v>
      </c>
      <c r="H911" s="6">
        <v>1154.28</v>
      </c>
      <c r="I911" s="6">
        <v>1408.4</v>
      </c>
      <c r="J911" s="8" t="s">
        <v>17</v>
      </c>
      <c r="K911" s="12">
        <v>0.28999999999999998</v>
      </c>
      <c r="L911" s="8" t="s">
        <v>27</v>
      </c>
      <c r="M911" s="8" t="s">
        <v>22</v>
      </c>
      <c r="N911" s="10" t="s">
        <v>20</v>
      </c>
      <c r="O911" s="17">
        <f xml:space="preserve"> (Tabla1[[#This Row],[Unit_Price]] - Tabla1[[#This Row],[Unit_Cost]] ) * Tabla1[[#This Row],[Quantity_Sold]]</f>
        <v>6353.0000000000027</v>
      </c>
      <c r="P911" s="12">
        <f>Tabla1[[#This Row],[Profit]] / Tabla1[[#This Row],[Sales_Calculated]]</f>
        <v>0.18043169554103955</v>
      </c>
      <c r="Q911" s="20">
        <f xml:space="preserve"> Tabla1[[#This Row],[Unit_Price]] * Tabla1[[#This Row],[Quantity_Sold]]</f>
        <v>35210</v>
      </c>
    </row>
    <row r="912" spans="1:17" x14ac:dyDescent="0.3">
      <c r="A912" s="2">
        <v>1025</v>
      </c>
      <c r="B912" s="1">
        <v>45016</v>
      </c>
      <c r="C912" s="8" t="s">
        <v>24</v>
      </c>
      <c r="D912" s="8" t="s">
        <v>21</v>
      </c>
      <c r="E912" s="6">
        <v>4929.5600000000004</v>
      </c>
      <c r="F912" s="2">
        <v>4</v>
      </c>
      <c r="G912" s="8" t="s">
        <v>16</v>
      </c>
      <c r="H912" s="6">
        <v>2751.06</v>
      </c>
      <c r="I912" s="6">
        <v>2976.0099999999902</v>
      </c>
      <c r="J912" s="8" t="s">
        <v>17</v>
      </c>
      <c r="K912" s="12">
        <v>0.28000000000000003</v>
      </c>
      <c r="L912" s="8" t="s">
        <v>31</v>
      </c>
      <c r="M912" s="8" t="s">
        <v>19</v>
      </c>
      <c r="N912" s="10" t="s">
        <v>47</v>
      </c>
      <c r="O912" s="17">
        <f xml:space="preserve"> (Tabla1[[#This Row],[Unit_Price]] - Tabla1[[#This Row],[Unit_Cost]] ) * Tabla1[[#This Row],[Quantity_Sold]]</f>
        <v>899.79999999996107</v>
      </c>
      <c r="P912" s="12">
        <f>Tabla1[[#This Row],[Profit]] / Tabla1[[#This Row],[Sales_Calculated]]</f>
        <v>7.5587783643197098E-2</v>
      </c>
      <c r="Q912" s="20">
        <f xml:space="preserve"> Tabla1[[#This Row],[Unit_Price]] * Tabla1[[#This Row],[Quantity_Sold]]</f>
        <v>11904.039999999961</v>
      </c>
    </row>
    <row r="913" spans="1:17" x14ac:dyDescent="0.3">
      <c r="A913" s="2">
        <v>1067</v>
      </c>
      <c r="B913" s="1">
        <v>45100</v>
      </c>
      <c r="C913" s="8" t="s">
        <v>14</v>
      </c>
      <c r="D913" s="8" t="s">
        <v>15</v>
      </c>
      <c r="E913" s="6">
        <v>914.5</v>
      </c>
      <c r="F913" s="2">
        <v>11</v>
      </c>
      <c r="G913" s="8" t="s">
        <v>16</v>
      </c>
      <c r="H913" s="6">
        <v>3435.68</v>
      </c>
      <c r="I913" s="6">
        <v>3552.6299999999901</v>
      </c>
      <c r="J913" s="8" t="s">
        <v>30</v>
      </c>
      <c r="K913" s="12">
        <v>0.27</v>
      </c>
      <c r="L913" s="8" t="s">
        <v>18</v>
      </c>
      <c r="M913" s="8" t="s">
        <v>22</v>
      </c>
      <c r="N913" s="10" t="s">
        <v>20</v>
      </c>
      <c r="O913" s="17">
        <f xml:space="preserve"> (Tabla1[[#This Row],[Unit_Price]] - Tabla1[[#This Row],[Unit_Cost]] ) * Tabla1[[#This Row],[Quantity_Sold]]</f>
        <v>1286.449999999893</v>
      </c>
      <c r="P913" s="12">
        <f>Tabla1[[#This Row],[Profit]] / Tabla1[[#This Row],[Sales_Calculated]]</f>
        <v>3.2919273890045009E-2</v>
      </c>
      <c r="Q913" s="20">
        <f xml:space="preserve"> Tabla1[[#This Row],[Unit_Price]] * Tabla1[[#This Row],[Quantity_Sold]]</f>
        <v>39078.929999999891</v>
      </c>
    </row>
    <row r="914" spans="1:17" x14ac:dyDescent="0.3">
      <c r="A914" s="2">
        <v>1096</v>
      </c>
      <c r="B914" s="1">
        <v>45048</v>
      </c>
      <c r="C914" s="8" t="s">
        <v>42</v>
      </c>
      <c r="D914" s="8" t="s">
        <v>34</v>
      </c>
      <c r="E914" s="6">
        <v>4649.88</v>
      </c>
      <c r="F914" s="2">
        <v>32</v>
      </c>
      <c r="G914" s="8" t="s">
        <v>16</v>
      </c>
      <c r="H914" s="6">
        <v>991.63</v>
      </c>
      <c r="I914" s="6">
        <v>1065.55</v>
      </c>
      <c r="J914" s="8" t="s">
        <v>17</v>
      </c>
      <c r="K914" s="12">
        <v>0.22</v>
      </c>
      <c r="L914" s="8" t="s">
        <v>27</v>
      </c>
      <c r="M914" s="8" t="s">
        <v>22</v>
      </c>
      <c r="N914" s="10" t="s">
        <v>52</v>
      </c>
      <c r="O914" s="17">
        <f xml:space="preserve"> (Tabla1[[#This Row],[Unit_Price]] - Tabla1[[#This Row],[Unit_Cost]] ) * Tabla1[[#This Row],[Quantity_Sold]]</f>
        <v>2365.4399999999987</v>
      </c>
      <c r="P914" s="12">
        <f>Tabla1[[#This Row],[Profit]] / Tabla1[[#This Row],[Sales_Calculated]]</f>
        <v>6.9372624466238056E-2</v>
      </c>
      <c r="Q914" s="20">
        <f xml:space="preserve"> Tabla1[[#This Row],[Unit_Price]] * Tabla1[[#This Row],[Quantity_Sold]]</f>
        <v>34097.599999999999</v>
      </c>
    </row>
    <row r="915" spans="1:17" x14ac:dyDescent="0.3">
      <c r="A915" s="2">
        <v>1067</v>
      </c>
      <c r="B915" s="1">
        <v>45069</v>
      </c>
      <c r="C915" s="8" t="s">
        <v>14</v>
      </c>
      <c r="D915" s="8" t="s">
        <v>15</v>
      </c>
      <c r="E915" s="6">
        <v>3133.99</v>
      </c>
      <c r="F915" s="2">
        <v>49</v>
      </c>
      <c r="G915" s="8" t="s">
        <v>16</v>
      </c>
      <c r="H915" s="6">
        <v>2628.38</v>
      </c>
      <c r="I915" s="6">
        <v>2644.54</v>
      </c>
      <c r="J915" s="8" t="s">
        <v>17</v>
      </c>
      <c r="K915" s="12">
        <v>0.11</v>
      </c>
      <c r="L915" s="8" t="s">
        <v>18</v>
      </c>
      <c r="M915" s="8" t="s">
        <v>19</v>
      </c>
      <c r="N915" s="10" t="s">
        <v>20</v>
      </c>
      <c r="O915" s="17">
        <f xml:space="preserve"> (Tabla1[[#This Row],[Unit_Price]] - Tabla1[[#This Row],[Unit_Cost]] ) * Tabla1[[#This Row],[Quantity_Sold]]</f>
        <v>791.83999999999287</v>
      </c>
      <c r="P915" s="12">
        <f>Tabla1[[#This Row],[Profit]] / Tabla1[[#This Row],[Sales_Calculated]]</f>
        <v>6.1107035628123812E-3</v>
      </c>
      <c r="Q915" s="20">
        <f xml:space="preserve"> Tabla1[[#This Row],[Unit_Price]] * Tabla1[[#This Row],[Quantity_Sold]]</f>
        <v>129582.45999999999</v>
      </c>
    </row>
    <row r="916" spans="1:17" x14ac:dyDescent="0.3">
      <c r="A916" s="2">
        <v>1027</v>
      </c>
      <c r="B916" s="1">
        <v>45032</v>
      </c>
      <c r="C916" s="8" t="s">
        <v>42</v>
      </c>
      <c r="D916" s="8" t="s">
        <v>34</v>
      </c>
      <c r="E916" s="6">
        <v>8241.57</v>
      </c>
      <c r="F916" s="2">
        <v>7</v>
      </c>
      <c r="G916" s="8" t="s">
        <v>26</v>
      </c>
      <c r="H916" s="6">
        <v>2371.85</v>
      </c>
      <c r="I916" s="6">
        <v>2457.29</v>
      </c>
      <c r="J916" s="8" t="s">
        <v>30</v>
      </c>
      <c r="K916" s="12">
        <v>0.03</v>
      </c>
      <c r="L916" s="8" t="s">
        <v>18</v>
      </c>
      <c r="M916" s="8" t="s">
        <v>22</v>
      </c>
      <c r="N916" s="10" t="s">
        <v>52</v>
      </c>
      <c r="O916" s="17">
        <f xml:space="preserve"> (Tabla1[[#This Row],[Unit_Price]] - Tabla1[[#This Row],[Unit_Cost]] ) * Tabla1[[#This Row],[Quantity_Sold]]</f>
        <v>598.08000000000038</v>
      </c>
      <c r="P916" s="12">
        <f>Tabla1[[#This Row],[Profit]] / Tabla1[[#This Row],[Sales_Calculated]]</f>
        <v>3.477001086562842E-2</v>
      </c>
      <c r="Q916" s="20">
        <f xml:space="preserve"> Tabla1[[#This Row],[Unit_Price]] * Tabla1[[#This Row],[Quantity_Sold]]</f>
        <v>17201.03</v>
      </c>
    </row>
    <row r="917" spans="1:17" x14ac:dyDescent="0.3">
      <c r="A917" s="2">
        <v>1093</v>
      </c>
      <c r="B917" s="1">
        <v>45231</v>
      </c>
      <c r="C917" s="8" t="s">
        <v>33</v>
      </c>
      <c r="D917" s="8" t="s">
        <v>15</v>
      </c>
      <c r="E917" s="6">
        <v>664.09</v>
      </c>
      <c r="F917" s="2">
        <v>46</v>
      </c>
      <c r="G917" s="8" t="s">
        <v>29</v>
      </c>
      <c r="H917" s="6">
        <v>401.64</v>
      </c>
      <c r="I917" s="6">
        <v>757.26</v>
      </c>
      <c r="J917" s="8" t="s">
        <v>30</v>
      </c>
      <c r="K917" s="12">
        <v>0.21</v>
      </c>
      <c r="L917" s="8" t="s">
        <v>31</v>
      </c>
      <c r="M917" s="8" t="s">
        <v>22</v>
      </c>
      <c r="N917" s="10" t="s">
        <v>53</v>
      </c>
      <c r="O917" s="17">
        <f xml:space="preserve"> (Tabla1[[#This Row],[Unit_Price]] - Tabla1[[#This Row],[Unit_Cost]] ) * Tabla1[[#This Row],[Quantity_Sold]]</f>
        <v>16358.52</v>
      </c>
      <c r="P917" s="12">
        <f>Tabla1[[#This Row],[Profit]] / Tabla1[[#This Row],[Sales_Calculated]]</f>
        <v>0.46961413517153955</v>
      </c>
      <c r="Q917" s="20">
        <f xml:space="preserve"> Tabla1[[#This Row],[Unit_Price]] * Tabla1[[#This Row],[Quantity_Sold]]</f>
        <v>34833.96</v>
      </c>
    </row>
    <row r="918" spans="1:17" x14ac:dyDescent="0.3">
      <c r="A918" s="2">
        <v>1032</v>
      </c>
      <c r="B918" s="1">
        <v>45286</v>
      </c>
      <c r="C918" s="8" t="s">
        <v>24</v>
      </c>
      <c r="D918" s="8" t="s">
        <v>25</v>
      </c>
      <c r="E918" s="6">
        <v>4244.21</v>
      </c>
      <c r="F918" s="2">
        <v>11</v>
      </c>
      <c r="G918" s="8" t="s">
        <v>29</v>
      </c>
      <c r="H918" s="6">
        <v>4100.62</v>
      </c>
      <c r="I918" s="6">
        <v>4230</v>
      </c>
      <c r="J918" s="8" t="s">
        <v>30</v>
      </c>
      <c r="K918" s="12">
        <v>0.28999999999999998</v>
      </c>
      <c r="L918" s="8" t="s">
        <v>27</v>
      </c>
      <c r="M918" s="8" t="s">
        <v>19</v>
      </c>
      <c r="N918" s="10" t="s">
        <v>28</v>
      </c>
      <c r="O918" s="17">
        <f xml:space="preserve"> (Tabla1[[#This Row],[Unit_Price]] - Tabla1[[#This Row],[Unit_Cost]] ) * Tabla1[[#This Row],[Quantity_Sold]]</f>
        <v>1423.1800000000012</v>
      </c>
      <c r="P918" s="12">
        <f>Tabla1[[#This Row],[Profit]] / Tabla1[[#This Row],[Sales_Calculated]]</f>
        <v>3.0586288416075677E-2</v>
      </c>
      <c r="Q918" s="20">
        <f xml:space="preserve"> Tabla1[[#This Row],[Unit_Price]] * Tabla1[[#This Row],[Quantity_Sold]]</f>
        <v>46530</v>
      </c>
    </row>
    <row r="919" spans="1:17" x14ac:dyDescent="0.3">
      <c r="A919" s="2">
        <v>1050</v>
      </c>
      <c r="B919" s="1">
        <v>45243</v>
      </c>
      <c r="C919" s="8" t="s">
        <v>42</v>
      </c>
      <c r="D919" s="8" t="s">
        <v>15</v>
      </c>
      <c r="E919" s="6">
        <v>4638.47</v>
      </c>
      <c r="F919" s="2">
        <v>28</v>
      </c>
      <c r="G919" s="8" t="s">
        <v>26</v>
      </c>
      <c r="H919" s="6">
        <v>1711.63</v>
      </c>
      <c r="I919" s="6">
        <v>1951.24</v>
      </c>
      <c r="J919" s="8" t="s">
        <v>30</v>
      </c>
      <c r="K919" s="12">
        <v>0.22</v>
      </c>
      <c r="L919" s="8" t="s">
        <v>18</v>
      </c>
      <c r="M919" s="8" t="s">
        <v>19</v>
      </c>
      <c r="N919" s="10" t="s">
        <v>49</v>
      </c>
      <c r="O919" s="17">
        <f xml:space="preserve"> (Tabla1[[#This Row],[Unit_Price]] - Tabla1[[#This Row],[Unit_Cost]] ) * Tabla1[[#This Row],[Quantity_Sold]]</f>
        <v>6709.0799999999972</v>
      </c>
      <c r="P919" s="12">
        <f>Tabla1[[#This Row],[Profit]] / Tabla1[[#This Row],[Sales_Calculated]]</f>
        <v>0.12279883561222601</v>
      </c>
      <c r="Q919" s="20">
        <f xml:space="preserve"> Tabla1[[#This Row],[Unit_Price]] * Tabla1[[#This Row],[Quantity_Sold]]</f>
        <v>54634.720000000001</v>
      </c>
    </row>
    <row r="920" spans="1:17" x14ac:dyDescent="0.3">
      <c r="A920" s="2">
        <v>1061</v>
      </c>
      <c r="B920" s="1">
        <v>45049</v>
      </c>
      <c r="C920" s="8" t="s">
        <v>14</v>
      </c>
      <c r="D920" s="8" t="s">
        <v>25</v>
      </c>
      <c r="E920" s="6">
        <v>7277.56</v>
      </c>
      <c r="F920" s="2">
        <v>41</v>
      </c>
      <c r="G920" s="8" t="s">
        <v>16</v>
      </c>
      <c r="H920" s="6">
        <v>2894.18</v>
      </c>
      <c r="I920" s="6">
        <v>3193.92</v>
      </c>
      <c r="J920" s="8" t="s">
        <v>30</v>
      </c>
      <c r="K920" s="12">
        <v>0.28000000000000003</v>
      </c>
      <c r="L920" s="8" t="s">
        <v>27</v>
      </c>
      <c r="M920" s="8" t="s">
        <v>22</v>
      </c>
      <c r="N920" s="10" t="s">
        <v>32</v>
      </c>
      <c r="O920" s="17">
        <f xml:space="preserve"> (Tabla1[[#This Row],[Unit_Price]] - Tabla1[[#This Row],[Unit_Cost]] ) * Tabla1[[#This Row],[Quantity_Sold]]</f>
        <v>12289.340000000009</v>
      </c>
      <c r="P920" s="12">
        <f>Tabla1[[#This Row],[Profit]] / Tabla1[[#This Row],[Sales_Calculated]]</f>
        <v>9.3847059412884556E-2</v>
      </c>
      <c r="Q920" s="20">
        <f xml:space="preserve"> Tabla1[[#This Row],[Unit_Price]] * Tabla1[[#This Row],[Quantity_Sold]]</f>
        <v>130950.72</v>
      </c>
    </row>
    <row r="921" spans="1:17" x14ac:dyDescent="0.3">
      <c r="A921" s="2">
        <v>1051</v>
      </c>
      <c r="B921" s="1">
        <v>44935</v>
      </c>
      <c r="C921" s="8" t="s">
        <v>24</v>
      </c>
      <c r="D921" s="8" t="s">
        <v>25</v>
      </c>
      <c r="E921" s="6">
        <v>5785.45</v>
      </c>
      <c r="F921" s="2">
        <v>23</v>
      </c>
      <c r="G921" s="8" t="s">
        <v>16</v>
      </c>
      <c r="H921" s="6">
        <v>2598.1799999999998</v>
      </c>
      <c r="I921" s="6">
        <v>3042.73</v>
      </c>
      <c r="J921" s="8" t="s">
        <v>17</v>
      </c>
      <c r="K921" s="12">
        <v>0.24</v>
      </c>
      <c r="L921" s="8" t="s">
        <v>31</v>
      </c>
      <c r="M921" s="8" t="s">
        <v>19</v>
      </c>
      <c r="N921" s="10" t="s">
        <v>28</v>
      </c>
      <c r="O921" s="17">
        <f xml:space="preserve"> (Tabla1[[#This Row],[Unit_Price]] - Tabla1[[#This Row],[Unit_Cost]] ) * Tabla1[[#This Row],[Quantity_Sold]]</f>
        <v>10224.650000000005</v>
      </c>
      <c r="P921" s="12">
        <f>Tabla1[[#This Row],[Profit]] / Tabla1[[#This Row],[Sales_Calculated]]</f>
        <v>0.14610234887748838</v>
      </c>
      <c r="Q921" s="20">
        <f xml:space="preserve"> Tabla1[[#This Row],[Unit_Price]] * Tabla1[[#This Row],[Quantity_Sold]]</f>
        <v>69982.789999999994</v>
      </c>
    </row>
    <row r="922" spans="1:17" x14ac:dyDescent="0.3">
      <c r="A922" s="2">
        <v>1019</v>
      </c>
      <c r="B922" s="1">
        <v>45188</v>
      </c>
      <c r="C922" s="8" t="s">
        <v>33</v>
      </c>
      <c r="D922" s="8" t="s">
        <v>21</v>
      </c>
      <c r="E922" s="6">
        <v>6705.4</v>
      </c>
      <c r="F922" s="2">
        <v>45</v>
      </c>
      <c r="G922" s="8" t="s">
        <v>29</v>
      </c>
      <c r="H922" s="6">
        <v>2590.64</v>
      </c>
      <c r="I922" s="6">
        <v>3036.18</v>
      </c>
      <c r="J922" s="8" t="s">
        <v>30</v>
      </c>
      <c r="K922" s="12">
        <v>0.05</v>
      </c>
      <c r="L922" s="8" t="s">
        <v>27</v>
      </c>
      <c r="M922" s="8" t="s">
        <v>22</v>
      </c>
      <c r="N922" s="10" t="s">
        <v>37</v>
      </c>
      <c r="O922" s="17">
        <f xml:space="preserve"> (Tabla1[[#This Row],[Unit_Price]] - Tabla1[[#This Row],[Unit_Cost]] ) * Tabla1[[#This Row],[Quantity_Sold]]</f>
        <v>20049.3</v>
      </c>
      <c r="P922" s="12">
        <f>Tabla1[[#This Row],[Profit]] / Tabla1[[#This Row],[Sales_Calculated]]</f>
        <v>0.14674360545158718</v>
      </c>
      <c r="Q922" s="20">
        <f xml:space="preserve"> Tabla1[[#This Row],[Unit_Price]] * Tabla1[[#This Row],[Quantity_Sold]]</f>
        <v>136628.1</v>
      </c>
    </row>
    <row r="923" spans="1:17" x14ac:dyDescent="0.3">
      <c r="A923" s="2">
        <v>1021</v>
      </c>
      <c r="B923" s="1">
        <v>44999</v>
      </c>
      <c r="C923" s="8" t="s">
        <v>24</v>
      </c>
      <c r="D923" s="8" t="s">
        <v>25</v>
      </c>
      <c r="E923" s="6">
        <v>7792.79</v>
      </c>
      <c r="F923" s="2">
        <v>23</v>
      </c>
      <c r="G923" s="8" t="s">
        <v>26</v>
      </c>
      <c r="H923" s="6">
        <v>580.75</v>
      </c>
      <c r="I923" s="6">
        <v>956.16</v>
      </c>
      <c r="J923" s="8" t="s">
        <v>17</v>
      </c>
      <c r="K923" s="12">
        <v>7.0000000000000007E-2</v>
      </c>
      <c r="L923" s="8" t="s">
        <v>18</v>
      </c>
      <c r="M923" s="8" t="s">
        <v>22</v>
      </c>
      <c r="N923" s="10" t="s">
        <v>28</v>
      </c>
      <c r="O923" s="17">
        <f xml:space="preserve"> (Tabla1[[#This Row],[Unit_Price]] - Tabla1[[#This Row],[Unit_Cost]] ) * Tabla1[[#This Row],[Quantity_Sold]]</f>
        <v>8634.4299999999985</v>
      </c>
      <c r="P923" s="12">
        <f>Tabla1[[#This Row],[Profit]] / Tabla1[[#This Row],[Sales_Calculated]]</f>
        <v>0.39262257362784464</v>
      </c>
      <c r="Q923" s="20">
        <f xml:space="preserve"> Tabla1[[#This Row],[Unit_Price]] * Tabla1[[#This Row],[Quantity_Sold]]</f>
        <v>21991.68</v>
      </c>
    </row>
    <row r="924" spans="1:17" x14ac:dyDescent="0.3">
      <c r="A924" s="2">
        <v>1005</v>
      </c>
      <c r="B924" s="1">
        <v>45285</v>
      </c>
      <c r="C924" s="8" t="s">
        <v>42</v>
      </c>
      <c r="D924" s="8" t="s">
        <v>25</v>
      </c>
      <c r="E924" s="6">
        <v>8635.81</v>
      </c>
      <c r="F924" s="2">
        <v>28</v>
      </c>
      <c r="G924" s="8" t="s">
        <v>16</v>
      </c>
      <c r="H924" s="6">
        <v>2146.2399999999998</v>
      </c>
      <c r="I924" s="6">
        <v>2173.4699999999998</v>
      </c>
      <c r="J924" s="8" t="s">
        <v>17</v>
      </c>
      <c r="K924" s="12">
        <v>0.1</v>
      </c>
      <c r="L924" s="8" t="s">
        <v>18</v>
      </c>
      <c r="M924" s="8" t="s">
        <v>22</v>
      </c>
      <c r="N924" s="10" t="s">
        <v>43</v>
      </c>
      <c r="O924" s="17">
        <f xml:space="preserve"> (Tabla1[[#This Row],[Unit_Price]] - Tabla1[[#This Row],[Unit_Cost]] ) * Tabla1[[#This Row],[Quantity_Sold]]</f>
        <v>762.44000000000051</v>
      </c>
      <c r="P924" s="12">
        <f>Tabla1[[#This Row],[Profit]] / Tabla1[[#This Row],[Sales_Calculated]]</f>
        <v>1.2528353278398147E-2</v>
      </c>
      <c r="Q924" s="20">
        <f xml:space="preserve"> Tabla1[[#This Row],[Unit_Price]] * Tabla1[[#This Row],[Quantity_Sold]]</f>
        <v>60857.159999999996</v>
      </c>
    </row>
    <row r="925" spans="1:17" x14ac:dyDescent="0.3">
      <c r="A925" s="2">
        <v>1082</v>
      </c>
      <c r="B925" s="1">
        <v>45149</v>
      </c>
      <c r="C925" s="8" t="s">
        <v>33</v>
      </c>
      <c r="D925" s="8" t="s">
        <v>15</v>
      </c>
      <c r="E925" s="6">
        <v>3207.37</v>
      </c>
      <c r="F925" s="2">
        <v>43</v>
      </c>
      <c r="G925" s="8" t="s">
        <v>16</v>
      </c>
      <c r="H925" s="6">
        <v>2289.2199999999998</v>
      </c>
      <c r="I925" s="6">
        <v>2581</v>
      </c>
      <c r="J925" s="8" t="s">
        <v>30</v>
      </c>
      <c r="K925" s="12">
        <v>0.05</v>
      </c>
      <c r="L925" s="8" t="s">
        <v>27</v>
      </c>
      <c r="M925" s="8" t="s">
        <v>19</v>
      </c>
      <c r="N925" s="10" t="s">
        <v>53</v>
      </c>
      <c r="O925" s="17">
        <f xml:space="preserve"> (Tabla1[[#This Row],[Unit_Price]] - Tabla1[[#This Row],[Unit_Cost]] ) * Tabla1[[#This Row],[Quantity_Sold]]</f>
        <v>12546.540000000008</v>
      </c>
      <c r="P925" s="12">
        <f>Tabla1[[#This Row],[Profit]] / Tabla1[[#This Row],[Sales_Calculated]]</f>
        <v>0.11304920573421162</v>
      </c>
      <c r="Q925" s="20">
        <f xml:space="preserve"> Tabla1[[#This Row],[Unit_Price]] * Tabla1[[#This Row],[Quantity_Sold]]</f>
        <v>110983</v>
      </c>
    </row>
    <row r="926" spans="1:17" x14ac:dyDescent="0.3">
      <c r="A926" s="2">
        <v>1092</v>
      </c>
      <c r="B926" s="1">
        <v>44967</v>
      </c>
      <c r="C926" s="8" t="s">
        <v>14</v>
      </c>
      <c r="D926" s="8" t="s">
        <v>34</v>
      </c>
      <c r="E926" s="6">
        <v>5426.42</v>
      </c>
      <c r="F926" s="2">
        <v>47</v>
      </c>
      <c r="G926" s="8" t="s">
        <v>16</v>
      </c>
      <c r="H926" s="6">
        <v>3681.53</v>
      </c>
      <c r="I926" s="6">
        <v>4076.96</v>
      </c>
      <c r="J926" s="8" t="s">
        <v>17</v>
      </c>
      <c r="K926" s="12">
        <v>0.17</v>
      </c>
      <c r="L926" s="8" t="s">
        <v>18</v>
      </c>
      <c r="M926" s="8" t="s">
        <v>22</v>
      </c>
      <c r="N926" s="10" t="s">
        <v>46</v>
      </c>
      <c r="O926" s="17">
        <f xml:space="preserve"> (Tabla1[[#This Row],[Unit_Price]] - Tabla1[[#This Row],[Unit_Cost]] ) * Tabla1[[#This Row],[Quantity_Sold]]</f>
        <v>18585.209999999992</v>
      </c>
      <c r="P926" s="12">
        <f>Tabla1[[#This Row],[Profit]] / Tabla1[[#This Row],[Sales_Calculated]]</f>
        <v>9.6991385738393276E-2</v>
      </c>
      <c r="Q926" s="20">
        <f xml:space="preserve"> Tabla1[[#This Row],[Unit_Price]] * Tabla1[[#This Row],[Quantity_Sold]]</f>
        <v>191617.12</v>
      </c>
    </row>
    <row r="927" spans="1:17" x14ac:dyDescent="0.3">
      <c r="A927" s="2">
        <v>1042</v>
      </c>
      <c r="B927" s="1">
        <v>45130</v>
      </c>
      <c r="C927" s="8" t="s">
        <v>33</v>
      </c>
      <c r="D927" s="8" t="s">
        <v>21</v>
      </c>
      <c r="E927" s="6">
        <v>8417.07</v>
      </c>
      <c r="F927" s="2">
        <v>26</v>
      </c>
      <c r="G927" s="8" t="s">
        <v>35</v>
      </c>
      <c r="H927" s="6">
        <v>4208.09</v>
      </c>
      <c r="I927" s="6">
        <v>4226.5600000000004</v>
      </c>
      <c r="J927" s="8" t="s">
        <v>17</v>
      </c>
      <c r="K927" s="12">
        <v>0.28999999999999998</v>
      </c>
      <c r="L927" s="8" t="s">
        <v>18</v>
      </c>
      <c r="M927" s="8" t="s">
        <v>22</v>
      </c>
      <c r="N927" s="10" t="s">
        <v>37</v>
      </c>
      <c r="O927" s="17">
        <f xml:space="preserve"> (Tabla1[[#This Row],[Unit_Price]] - Tabla1[[#This Row],[Unit_Cost]] ) * Tabla1[[#This Row],[Quantity_Sold]]</f>
        <v>480.22000000000662</v>
      </c>
      <c r="P927" s="12">
        <f>Tabla1[[#This Row],[Profit]] / Tabla1[[#This Row],[Sales_Calculated]]</f>
        <v>4.3699841005451837E-3</v>
      </c>
      <c r="Q927" s="20">
        <f xml:space="preserve"> Tabla1[[#This Row],[Unit_Price]] * Tabla1[[#This Row],[Quantity_Sold]]</f>
        <v>109890.56000000001</v>
      </c>
    </row>
    <row r="928" spans="1:17" x14ac:dyDescent="0.3">
      <c r="A928" s="2">
        <v>1061</v>
      </c>
      <c r="B928" s="1">
        <v>45190</v>
      </c>
      <c r="C928" s="8" t="s">
        <v>33</v>
      </c>
      <c r="D928" s="8" t="s">
        <v>25</v>
      </c>
      <c r="E928" s="6">
        <v>9895.57</v>
      </c>
      <c r="F928" s="2">
        <v>25</v>
      </c>
      <c r="G928" s="8" t="s">
        <v>26</v>
      </c>
      <c r="H928" s="6">
        <v>2747.66</v>
      </c>
      <c r="I928" s="6">
        <v>3027.0099999999902</v>
      </c>
      <c r="J928" s="8" t="s">
        <v>30</v>
      </c>
      <c r="K928" s="12">
        <v>0.23</v>
      </c>
      <c r="L928" s="8" t="s">
        <v>18</v>
      </c>
      <c r="M928" s="8" t="s">
        <v>19</v>
      </c>
      <c r="N928" s="10" t="s">
        <v>44</v>
      </c>
      <c r="O928" s="17">
        <f xml:space="preserve"> (Tabla1[[#This Row],[Unit_Price]] - Tabla1[[#This Row],[Unit_Cost]] ) * Tabla1[[#This Row],[Quantity_Sold]]</f>
        <v>6983.749999999759</v>
      </c>
      <c r="P928" s="12">
        <f>Tabla1[[#This Row],[Profit]] / Tabla1[[#This Row],[Sales_Calculated]]</f>
        <v>9.2285786964691655E-2</v>
      </c>
      <c r="Q928" s="20">
        <f xml:space="preserve"> Tabla1[[#This Row],[Unit_Price]] * Tabla1[[#This Row],[Quantity_Sold]]</f>
        <v>75675.249999999753</v>
      </c>
    </row>
    <row r="929" spans="1:17" x14ac:dyDescent="0.3">
      <c r="A929" s="2">
        <v>1022</v>
      </c>
      <c r="B929" s="1">
        <v>45254</v>
      </c>
      <c r="C929" s="8" t="s">
        <v>38</v>
      </c>
      <c r="D929" s="8" t="s">
        <v>21</v>
      </c>
      <c r="E929" s="6">
        <v>8906.24</v>
      </c>
      <c r="F929" s="2">
        <v>29</v>
      </c>
      <c r="G929" s="8" t="s">
        <v>16</v>
      </c>
      <c r="H929" s="6">
        <v>479.58</v>
      </c>
      <c r="I929" s="6">
        <v>909.88</v>
      </c>
      <c r="J929" s="8" t="s">
        <v>17</v>
      </c>
      <c r="K929" s="12">
        <v>0.13</v>
      </c>
      <c r="L929" s="8" t="s">
        <v>31</v>
      </c>
      <c r="M929" s="8" t="s">
        <v>22</v>
      </c>
      <c r="N929" s="10" t="s">
        <v>41</v>
      </c>
      <c r="O929" s="17">
        <f xml:space="preserve"> (Tabla1[[#This Row],[Unit_Price]] - Tabla1[[#This Row],[Unit_Cost]] ) * Tabla1[[#This Row],[Quantity_Sold]]</f>
        <v>12478.7</v>
      </c>
      <c r="P929" s="12">
        <f>Tabla1[[#This Row],[Profit]] / Tabla1[[#This Row],[Sales_Calculated]]</f>
        <v>0.4729195058689058</v>
      </c>
      <c r="Q929" s="20">
        <f xml:space="preserve"> Tabla1[[#This Row],[Unit_Price]] * Tabla1[[#This Row],[Quantity_Sold]]</f>
        <v>26386.52</v>
      </c>
    </row>
    <row r="930" spans="1:17" x14ac:dyDescent="0.3">
      <c r="A930" s="2">
        <v>1021</v>
      </c>
      <c r="B930" s="1">
        <v>45104</v>
      </c>
      <c r="C930" s="8" t="s">
        <v>33</v>
      </c>
      <c r="D930" s="8" t="s">
        <v>15</v>
      </c>
      <c r="E930" s="6">
        <v>3777.53</v>
      </c>
      <c r="F930" s="2">
        <v>19</v>
      </c>
      <c r="G930" s="8" t="s">
        <v>35</v>
      </c>
      <c r="H930" s="6">
        <v>1222.4000000000001</v>
      </c>
      <c r="I930" s="6">
        <v>1464.71</v>
      </c>
      <c r="J930" s="8" t="s">
        <v>30</v>
      </c>
      <c r="K930" s="12">
        <v>0</v>
      </c>
      <c r="L930" s="8" t="s">
        <v>31</v>
      </c>
      <c r="M930" s="8" t="s">
        <v>22</v>
      </c>
      <c r="N930" s="10" t="s">
        <v>53</v>
      </c>
      <c r="O930" s="17">
        <f xml:space="preserve"> (Tabla1[[#This Row],[Unit_Price]] - Tabla1[[#This Row],[Unit_Cost]] ) * Tabla1[[#This Row],[Quantity_Sold]]</f>
        <v>4603.8899999999994</v>
      </c>
      <c r="P930" s="12">
        <f>Tabla1[[#This Row],[Profit]] / Tabla1[[#This Row],[Sales_Calculated]]</f>
        <v>0.16543206505041952</v>
      </c>
      <c r="Q930" s="20">
        <f xml:space="preserve"> Tabla1[[#This Row],[Unit_Price]] * Tabla1[[#This Row],[Quantity_Sold]]</f>
        <v>27829.49</v>
      </c>
    </row>
    <row r="931" spans="1:17" x14ac:dyDescent="0.3">
      <c r="A931" s="2">
        <v>1070</v>
      </c>
      <c r="B931" s="1">
        <v>45274</v>
      </c>
      <c r="C931" s="8" t="s">
        <v>33</v>
      </c>
      <c r="D931" s="8" t="s">
        <v>25</v>
      </c>
      <c r="E931" s="6">
        <v>2032.15</v>
      </c>
      <c r="F931" s="2">
        <v>33</v>
      </c>
      <c r="G931" s="8" t="s">
        <v>26</v>
      </c>
      <c r="H931" s="6">
        <v>866.42</v>
      </c>
      <c r="I931" s="6">
        <v>878.43</v>
      </c>
      <c r="J931" s="8" t="s">
        <v>30</v>
      </c>
      <c r="K931" s="12">
        <v>0.09</v>
      </c>
      <c r="L931" s="8" t="s">
        <v>18</v>
      </c>
      <c r="M931" s="8" t="s">
        <v>22</v>
      </c>
      <c r="N931" s="10" t="s">
        <v>44</v>
      </c>
      <c r="O931" s="17">
        <f xml:space="preserve"> (Tabla1[[#This Row],[Unit_Price]] - Tabla1[[#This Row],[Unit_Cost]] ) * Tabla1[[#This Row],[Quantity_Sold]]</f>
        <v>396.3299999999997</v>
      </c>
      <c r="P931" s="12">
        <f>Tabla1[[#This Row],[Profit]] / Tabla1[[#This Row],[Sales_Calculated]]</f>
        <v>1.3672119576972544E-2</v>
      </c>
      <c r="Q931" s="20">
        <f xml:space="preserve"> Tabla1[[#This Row],[Unit_Price]] * Tabla1[[#This Row],[Quantity_Sold]]</f>
        <v>28988.19</v>
      </c>
    </row>
    <row r="932" spans="1:17" x14ac:dyDescent="0.3">
      <c r="A932" s="2">
        <v>1001</v>
      </c>
      <c r="B932" s="1">
        <v>45244</v>
      </c>
      <c r="C932" s="8" t="s">
        <v>24</v>
      </c>
      <c r="D932" s="8" t="s">
        <v>15</v>
      </c>
      <c r="E932" s="6">
        <v>4944.99</v>
      </c>
      <c r="F932" s="2">
        <v>36</v>
      </c>
      <c r="G932" s="8" t="s">
        <v>16</v>
      </c>
      <c r="H932" s="6">
        <v>666.84</v>
      </c>
      <c r="I932" s="6">
        <v>682.24</v>
      </c>
      <c r="J932" s="8" t="s">
        <v>30</v>
      </c>
      <c r="K932" s="12">
        <v>0.16</v>
      </c>
      <c r="L932" s="8" t="s">
        <v>27</v>
      </c>
      <c r="M932" s="8" t="s">
        <v>22</v>
      </c>
      <c r="N932" s="10" t="s">
        <v>45</v>
      </c>
      <c r="O932" s="17">
        <f xml:space="preserve"> (Tabla1[[#This Row],[Unit_Price]] - Tabla1[[#This Row],[Unit_Cost]] ) * Tabla1[[#This Row],[Quantity_Sold]]</f>
        <v>554.39999999999918</v>
      </c>
      <c r="P932" s="12">
        <f>Tabla1[[#This Row],[Profit]] / Tabla1[[#This Row],[Sales_Calculated]]</f>
        <v>2.2572701688555314E-2</v>
      </c>
      <c r="Q932" s="20">
        <f xml:space="preserve"> Tabla1[[#This Row],[Unit_Price]] * Tabla1[[#This Row],[Quantity_Sold]]</f>
        <v>24560.639999999999</v>
      </c>
    </row>
    <row r="933" spans="1:17" x14ac:dyDescent="0.3">
      <c r="A933" s="2">
        <v>1005</v>
      </c>
      <c r="B933" s="1">
        <v>45010</v>
      </c>
      <c r="C933" s="8" t="s">
        <v>14</v>
      </c>
      <c r="D933" s="8" t="s">
        <v>21</v>
      </c>
      <c r="E933" s="6">
        <v>7442.25</v>
      </c>
      <c r="F933" s="2">
        <v>14</v>
      </c>
      <c r="G933" s="8" t="s">
        <v>29</v>
      </c>
      <c r="H933" s="6">
        <v>1861.2</v>
      </c>
      <c r="I933" s="6">
        <v>2075.35</v>
      </c>
      <c r="J933" s="8" t="s">
        <v>17</v>
      </c>
      <c r="K933" s="12">
        <v>0.1</v>
      </c>
      <c r="L933" s="8" t="s">
        <v>31</v>
      </c>
      <c r="M933" s="8" t="s">
        <v>22</v>
      </c>
      <c r="N933" s="10" t="s">
        <v>23</v>
      </c>
      <c r="O933" s="17">
        <f xml:space="preserve"> (Tabla1[[#This Row],[Unit_Price]] - Tabla1[[#This Row],[Unit_Cost]] ) * Tabla1[[#This Row],[Quantity_Sold]]</f>
        <v>2998.0999999999981</v>
      </c>
      <c r="P933" s="12">
        <f>Tabla1[[#This Row],[Profit]] / Tabla1[[#This Row],[Sales_Calculated]]</f>
        <v>0.10318741417110361</v>
      </c>
      <c r="Q933" s="20">
        <f xml:space="preserve"> Tabla1[[#This Row],[Unit_Price]] * Tabla1[[#This Row],[Quantity_Sold]]</f>
        <v>29054.899999999998</v>
      </c>
    </row>
    <row r="934" spans="1:17" x14ac:dyDescent="0.3">
      <c r="A934" s="2">
        <v>1012</v>
      </c>
      <c r="B934" s="1">
        <v>45244</v>
      </c>
      <c r="C934" s="8" t="s">
        <v>24</v>
      </c>
      <c r="D934" s="8" t="s">
        <v>15</v>
      </c>
      <c r="E934" s="6">
        <v>4976.43</v>
      </c>
      <c r="F934" s="2">
        <v>14</v>
      </c>
      <c r="G934" s="8" t="s">
        <v>35</v>
      </c>
      <c r="H934" s="6">
        <v>1185.5</v>
      </c>
      <c r="I934" s="6">
        <v>1271.45</v>
      </c>
      <c r="J934" s="8" t="s">
        <v>17</v>
      </c>
      <c r="K934" s="12">
        <v>0.03</v>
      </c>
      <c r="L934" s="8" t="s">
        <v>27</v>
      </c>
      <c r="M934" s="8" t="s">
        <v>22</v>
      </c>
      <c r="N934" s="10" t="s">
        <v>45</v>
      </c>
      <c r="O934" s="17">
        <f xml:space="preserve"> (Tabla1[[#This Row],[Unit_Price]] - Tabla1[[#This Row],[Unit_Cost]] ) * Tabla1[[#This Row],[Quantity_Sold]]</f>
        <v>1203.3000000000006</v>
      </c>
      <c r="P934" s="12">
        <f>Tabla1[[#This Row],[Profit]] / Tabla1[[#This Row],[Sales_Calculated]]</f>
        <v>6.7599984269928068E-2</v>
      </c>
      <c r="Q934" s="20">
        <f xml:space="preserve"> Tabla1[[#This Row],[Unit_Price]] * Tabla1[[#This Row],[Quantity_Sold]]</f>
        <v>17800.3</v>
      </c>
    </row>
    <row r="935" spans="1:17" x14ac:dyDescent="0.3">
      <c r="A935" s="2">
        <v>1090</v>
      </c>
      <c r="B935" s="1">
        <v>45037</v>
      </c>
      <c r="C935" s="8" t="s">
        <v>24</v>
      </c>
      <c r="D935" s="8" t="s">
        <v>21</v>
      </c>
      <c r="E935" s="6">
        <v>4883.49</v>
      </c>
      <c r="F935" s="2">
        <v>35</v>
      </c>
      <c r="G935" s="8" t="s">
        <v>35</v>
      </c>
      <c r="H935" s="6">
        <v>1130.5999999999999</v>
      </c>
      <c r="I935" s="6">
        <v>1466.1799999999901</v>
      </c>
      <c r="J935" s="8" t="s">
        <v>17</v>
      </c>
      <c r="K935" s="12">
        <v>0.13</v>
      </c>
      <c r="L935" s="8" t="s">
        <v>18</v>
      </c>
      <c r="M935" s="8" t="s">
        <v>19</v>
      </c>
      <c r="N935" s="10" t="s">
        <v>47</v>
      </c>
      <c r="O935" s="17">
        <f xml:space="preserve"> (Tabla1[[#This Row],[Unit_Price]] - Tabla1[[#This Row],[Unit_Cost]] ) * Tabla1[[#This Row],[Quantity_Sold]]</f>
        <v>11745.299999999655</v>
      </c>
      <c r="P935" s="12">
        <f>Tabla1[[#This Row],[Profit]] / Tabla1[[#This Row],[Sales_Calculated]]</f>
        <v>0.22888049216330356</v>
      </c>
      <c r="Q935" s="20">
        <f xml:space="preserve"> Tabla1[[#This Row],[Unit_Price]] * Tabla1[[#This Row],[Quantity_Sold]]</f>
        <v>51316.299999999654</v>
      </c>
    </row>
    <row r="936" spans="1:17" x14ac:dyDescent="0.3">
      <c r="A936" s="2">
        <v>1046</v>
      </c>
      <c r="B936" s="1">
        <v>45177</v>
      </c>
      <c r="C936" s="8" t="s">
        <v>42</v>
      </c>
      <c r="D936" s="8" t="s">
        <v>15</v>
      </c>
      <c r="E936" s="6">
        <v>8398.48</v>
      </c>
      <c r="F936" s="2">
        <v>30</v>
      </c>
      <c r="G936" s="8" t="s">
        <v>16</v>
      </c>
      <c r="H936" s="6">
        <v>320.73</v>
      </c>
      <c r="I936" s="6">
        <v>678.04</v>
      </c>
      <c r="J936" s="8" t="s">
        <v>17</v>
      </c>
      <c r="K936" s="12">
        <v>0.08</v>
      </c>
      <c r="L936" s="8" t="s">
        <v>18</v>
      </c>
      <c r="M936" s="8" t="s">
        <v>22</v>
      </c>
      <c r="N936" s="10" t="s">
        <v>49</v>
      </c>
      <c r="O936" s="17">
        <f xml:space="preserve"> (Tabla1[[#This Row],[Unit_Price]] - Tabla1[[#This Row],[Unit_Cost]] ) * Tabla1[[#This Row],[Quantity_Sold]]</f>
        <v>10719.3</v>
      </c>
      <c r="P936" s="12">
        <f>Tabla1[[#This Row],[Profit]] / Tabla1[[#This Row],[Sales_Calculated]]</f>
        <v>0.52697480974573774</v>
      </c>
      <c r="Q936" s="20">
        <f xml:space="preserve"> Tabla1[[#This Row],[Unit_Price]] * Tabla1[[#This Row],[Quantity_Sold]]</f>
        <v>20341.199999999997</v>
      </c>
    </row>
    <row r="937" spans="1:17" x14ac:dyDescent="0.3">
      <c r="A937" s="2">
        <v>1034</v>
      </c>
      <c r="B937" s="1">
        <v>44933</v>
      </c>
      <c r="C937" s="8" t="s">
        <v>24</v>
      </c>
      <c r="D937" s="8" t="s">
        <v>21</v>
      </c>
      <c r="E937" s="6">
        <v>3677.9</v>
      </c>
      <c r="F937" s="2">
        <v>28</v>
      </c>
      <c r="G937" s="8" t="s">
        <v>16</v>
      </c>
      <c r="H937" s="6">
        <v>137.47</v>
      </c>
      <c r="I937" s="6">
        <v>234.63</v>
      </c>
      <c r="J937" s="8" t="s">
        <v>30</v>
      </c>
      <c r="K937" s="12">
        <v>0.27</v>
      </c>
      <c r="L937" s="8" t="s">
        <v>27</v>
      </c>
      <c r="M937" s="8" t="s">
        <v>22</v>
      </c>
      <c r="N937" s="10" t="s">
        <v>47</v>
      </c>
      <c r="O937" s="17">
        <f xml:space="preserve"> (Tabla1[[#This Row],[Unit_Price]] - Tabla1[[#This Row],[Unit_Cost]] ) * Tabla1[[#This Row],[Quantity_Sold]]</f>
        <v>2720.48</v>
      </c>
      <c r="P937" s="12">
        <f>Tabla1[[#This Row],[Profit]] / Tabla1[[#This Row],[Sales_Calculated]]</f>
        <v>0.41409879384562931</v>
      </c>
      <c r="Q937" s="20">
        <f xml:space="preserve"> Tabla1[[#This Row],[Unit_Price]] * Tabla1[[#This Row],[Quantity_Sold]]</f>
        <v>6569.6399999999994</v>
      </c>
    </row>
    <row r="938" spans="1:17" x14ac:dyDescent="0.3">
      <c r="A938" s="2">
        <v>1049</v>
      </c>
      <c r="B938" s="1">
        <v>45010</v>
      </c>
      <c r="C938" s="8" t="s">
        <v>38</v>
      </c>
      <c r="D938" s="8" t="s">
        <v>34</v>
      </c>
      <c r="E938" s="6">
        <v>8611.9699999999993</v>
      </c>
      <c r="F938" s="2">
        <v>17</v>
      </c>
      <c r="G938" s="8" t="s">
        <v>35</v>
      </c>
      <c r="H938" s="6">
        <v>558.70000000000005</v>
      </c>
      <c r="I938" s="6">
        <v>1004.08</v>
      </c>
      <c r="J938" s="8" t="s">
        <v>17</v>
      </c>
      <c r="K938" s="12">
        <v>0.03</v>
      </c>
      <c r="L938" s="8" t="s">
        <v>31</v>
      </c>
      <c r="M938" s="8" t="s">
        <v>19</v>
      </c>
      <c r="N938" s="10" t="s">
        <v>48</v>
      </c>
      <c r="O938" s="17">
        <f xml:space="preserve"> (Tabla1[[#This Row],[Unit_Price]] - Tabla1[[#This Row],[Unit_Cost]] ) * Tabla1[[#This Row],[Quantity_Sold]]</f>
        <v>7571.46</v>
      </c>
      <c r="P938" s="12">
        <f>Tabla1[[#This Row],[Profit]] / Tabla1[[#This Row],[Sales_Calculated]]</f>
        <v>0.44357023344753405</v>
      </c>
      <c r="Q938" s="20">
        <f xml:space="preserve"> Tabla1[[#This Row],[Unit_Price]] * Tabla1[[#This Row],[Quantity_Sold]]</f>
        <v>17069.36</v>
      </c>
    </row>
    <row r="939" spans="1:17" x14ac:dyDescent="0.3">
      <c r="A939" s="2">
        <v>1078</v>
      </c>
      <c r="B939" s="1">
        <v>45134</v>
      </c>
      <c r="C939" s="8" t="s">
        <v>38</v>
      </c>
      <c r="D939" s="8" t="s">
        <v>15</v>
      </c>
      <c r="E939" s="6">
        <v>4127.37</v>
      </c>
      <c r="F939" s="2">
        <v>3</v>
      </c>
      <c r="G939" s="8" t="s">
        <v>29</v>
      </c>
      <c r="H939" s="6">
        <v>902.38</v>
      </c>
      <c r="I939" s="6">
        <v>1128.9100000000001</v>
      </c>
      <c r="J939" s="8" t="s">
        <v>30</v>
      </c>
      <c r="K939" s="12">
        <v>0.01</v>
      </c>
      <c r="L939" s="8" t="s">
        <v>27</v>
      </c>
      <c r="M939" s="8" t="s">
        <v>22</v>
      </c>
      <c r="N939" s="10" t="s">
        <v>40</v>
      </c>
      <c r="O939" s="17">
        <f xml:space="preserve"> (Tabla1[[#This Row],[Unit_Price]] - Tabla1[[#This Row],[Unit_Cost]] ) * Tabla1[[#This Row],[Quantity_Sold]]</f>
        <v>679.59000000000026</v>
      </c>
      <c r="P939" s="12">
        <f>Tabla1[[#This Row],[Profit]] / Tabla1[[#This Row],[Sales_Calculated]]</f>
        <v>0.20066258603431633</v>
      </c>
      <c r="Q939" s="20">
        <f xml:space="preserve"> Tabla1[[#This Row],[Unit_Price]] * Tabla1[[#This Row],[Quantity_Sold]]</f>
        <v>3386.7300000000005</v>
      </c>
    </row>
    <row r="940" spans="1:17" x14ac:dyDescent="0.3">
      <c r="A940" s="2">
        <v>1090</v>
      </c>
      <c r="B940" s="1">
        <v>45240</v>
      </c>
      <c r="C940" s="8" t="s">
        <v>42</v>
      </c>
      <c r="D940" s="8" t="s">
        <v>15</v>
      </c>
      <c r="E940" s="6">
        <v>3349.51</v>
      </c>
      <c r="F940" s="2">
        <v>16</v>
      </c>
      <c r="G940" s="8" t="s">
        <v>29</v>
      </c>
      <c r="H940" s="6">
        <v>2183.37</v>
      </c>
      <c r="I940" s="6">
        <v>2263.3599999999901</v>
      </c>
      <c r="J940" s="8" t="s">
        <v>17</v>
      </c>
      <c r="K940" s="12">
        <v>0</v>
      </c>
      <c r="L940" s="8" t="s">
        <v>27</v>
      </c>
      <c r="M940" s="8" t="s">
        <v>22</v>
      </c>
      <c r="N940" s="10" t="s">
        <v>49</v>
      </c>
      <c r="O940" s="17">
        <f xml:space="preserve"> (Tabla1[[#This Row],[Unit_Price]] - Tabla1[[#This Row],[Unit_Cost]] ) * Tabla1[[#This Row],[Quantity_Sold]]</f>
        <v>1279.8399999998437</v>
      </c>
      <c r="P940" s="12">
        <f>Tabla1[[#This Row],[Profit]] / Tabla1[[#This Row],[Sales_Calculated]]</f>
        <v>3.5341262547712506E-2</v>
      </c>
      <c r="Q940" s="20">
        <f xml:space="preserve"> Tabla1[[#This Row],[Unit_Price]] * Tabla1[[#This Row],[Quantity_Sold]]</f>
        <v>36213.759999999842</v>
      </c>
    </row>
    <row r="941" spans="1:17" x14ac:dyDescent="0.3">
      <c r="A941" s="2">
        <v>1045</v>
      </c>
      <c r="B941" s="1">
        <v>44948</v>
      </c>
      <c r="C941" s="8" t="s">
        <v>14</v>
      </c>
      <c r="D941" s="8" t="s">
        <v>34</v>
      </c>
      <c r="E941" s="6">
        <v>4594.5</v>
      </c>
      <c r="F941" s="2">
        <v>46</v>
      </c>
      <c r="G941" s="8" t="s">
        <v>26</v>
      </c>
      <c r="H941" s="6">
        <v>2577.08</v>
      </c>
      <c r="I941" s="6">
        <v>2961.56</v>
      </c>
      <c r="J941" s="8" t="s">
        <v>17</v>
      </c>
      <c r="K941" s="12">
        <v>0.1</v>
      </c>
      <c r="L941" s="8" t="s">
        <v>18</v>
      </c>
      <c r="M941" s="8" t="s">
        <v>19</v>
      </c>
      <c r="N941" s="10" t="s">
        <v>46</v>
      </c>
      <c r="O941" s="17">
        <f xml:space="preserve"> (Tabla1[[#This Row],[Unit_Price]] - Tabla1[[#This Row],[Unit_Cost]] ) * Tabla1[[#This Row],[Quantity_Sold]]</f>
        <v>17686.080000000002</v>
      </c>
      <c r="P941" s="12">
        <f>Tabla1[[#This Row],[Profit]] / Tabla1[[#This Row],[Sales_Calculated]]</f>
        <v>0.12982347141371439</v>
      </c>
      <c r="Q941" s="20">
        <f xml:space="preserve"> Tabla1[[#This Row],[Unit_Price]] * Tabla1[[#This Row],[Quantity_Sold]]</f>
        <v>136231.76</v>
      </c>
    </row>
    <row r="942" spans="1:17" x14ac:dyDescent="0.3">
      <c r="A942" s="2">
        <v>1027</v>
      </c>
      <c r="B942" s="1">
        <v>44929</v>
      </c>
      <c r="C942" s="8" t="s">
        <v>14</v>
      </c>
      <c r="D942" s="8" t="s">
        <v>34</v>
      </c>
      <c r="E942" s="6">
        <v>7648.22</v>
      </c>
      <c r="F942" s="2">
        <v>30</v>
      </c>
      <c r="G942" s="8" t="s">
        <v>16</v>
      </c>
      <c r="H942" s="6">
        <v>745.93</v>
      </c>
      <c r="I942" s="6">
        <v>1143.02</v>
      </c>
      <c r="J942" s="8" t="s">
        <v>17</v>
      </c>
      <c r="K942" s="12">
        <v>0.2</v>
      </c>
      <c r="L942" s="8" t="s">
        <v>31</v>
      </c>
      <c r="M942" s="8" t="s">
        <v>19</v>
      </c>
      <c r="N942" s="10" t="s">
        <v>46</v>
      </c>
      <c r="O942" s="17">
        <f xml:space="preserve"> (Tabla1[[#This Row],[Unit_Price]] - Tabla1[[#This Row],[Unit_Cost]] ) * Tabla1[[#This Row],[Quantity_Sold]]</f>
        <v>11912.7</v>
      </c>
      <c r="P942" s="12">
        <f>Tabla1[[#This Row],[Profit]] / Tabla1[[#This Row],[Sales_Calculated]]</f>
        <v>0.34740424489510247</v>
      </c>
      <c r="Q942" s="20">
        <f xml:space="preserve"> Tabla1[[#This Row],[Unit_Price]] * Tabla1[[#This Row],[Quantity_Sold]]</f>
        <v>34290.6</v>
      </c>
    </row>
    <row r="943" spans="1:17" x14ac:dyDescent="0.3">
      <c r="A943" s="2">
        <v>1073</v>
      </c>
      <c r="B943" s="1">
        <v>45053</v>
      </c>
      <c r="C943" s="8" t="s">
        <v>24</v>
      </c>
      <c r="D943" s="8" t="s">
        <v>15</v>
      </c>
      <c r="E943" s="6">
        <v>1347.42</v>
      </c>
      <c r="F943" s="2">
        <v>29</v>
      </c>
      <c r="G943" s="8" t="s">
        <v>29</v>
      </c>
      <c r="H943" s="6">
        <v>2152.6799999999998</v>
      </c>
      <c r="I943" s="6">
        <v>2475.9299999999998</v>
      </c>
      <c r="J943" s="8" t="s">
        <v>17</v>
      </c>
      <c r="K943" s="12">
        <v>0.22</v>
      </c>
      <c r="L943" s="8" t="s">
        <v>27</v>
      </c>
      <c r="M943" s="8" t="s">
        <v>19</v>
      </c>
      <c r="N943" s="10" t="s">
        <v>45</v>
      </c>
      <c r="O943" s="17">
        <f xml:space="preserve"> (Tabla1[[#This Row],[Unit_Price]] - Tabla1[[#This Row],[Unit_Cost]] ) * Tabla1[[#This Row],[Quantity_Sold]]</f>
        <v>9374.25</v>
      </c>
      <c r="P943" s="12">
        <f>Tabla1[[#This Row],[Profit]] / Tabla1[[#This Row],[Sales_Calculated]]</f>
        <v>0.13055700282318158</v>
      </c>
      <c r="Q943" s="20">
        <f xml:space="preserve"> Tabla1[[#This Row],[Unit_Price]] * Tabla1[[#This Row],[Quantity_Sold]]</f>
        <v>71801.97</v>
      </c>
    </row>
    <row r="944" spans="1:17" x14ac:dyDescent="0.3">
      <c r="A944" s="2">
        <v>1026</v>
      </c>
      <c r="B944" s="1">
        <v>45223</v>
      </c>
      <c r="C944" s="8" t="s">
        <v>24</v>
      </c>
      <c r="D944" s="8" t="s">
        <v>34</v>
      </c>
      <c r="E944" s="6">
        <v>2044.55</v>
      </c>
      <c r="F944" s="2">
        <v>45</v>
      </c>
      <c r="G944" s="8" t="s">
        <v>26</v>
      </c>
      <c r="H944" s="6">
        <v>1741.66</v>
      </c>
      <c r="I944" s="6">
        <v>2169.86</v>
      </c>
      <c r="J944" s="8" t="s">
        <v>17</v>
      </c>
      <c r="K944" s="12">
        <v>0.14000000000000001</v>
      </c>
      <c r="L944" s="8" t="s">
        <v>31</v>
      </c>
      <c r="M944" s="8" t="s">
        <v>19</v>
      </c>
      <c r="N944" s="10" t="s">
        <v>50</v>
      </c>
      <c r="O944" s="17">
        <f xml:space="preserve"> (Tabla1[[#This Row],[Unit_Price]] - Tabla1[[#This Row],[Unit_Cost]] ) * Tabla1[[#This Row],[Quantity_Sold]]</f>
        <v>19269.000000000004</v>
      </c>
      <c r="P944" s="12">
        <f>Tabla1[[#This Row],[Profit]] / Tabla1[[#This Row],[Sales_Calculated]]</f>
        <v>0.19733992054786947</v>
      </c>
      <c r="Q944" s="20">
        <f xml:space="preserve"> Tabla1[[#This Row],[Unit_Price]] * Tabla1[[#This Row],[Quantity_Sold]]</f>
        <v>97643.700000000012</v>
      </c>
    </row>
    <row r="945" spans="1:17" x14ac:dyDescent="0.3">
      <c r="A945" s="2">
        <v>1047</v>
      </c>
      <c r="B945" s="1">
        <v>45114</v>
      </c>
      <c r="C945" s="8" t="s">
        <v>24</v>
      </c>
      <c r="D945" s="8" t="s">
        <v>25</v>
      </c>
      <c r="E945" s="6">
        <v>9519.2999999999993</v>
      </c>
      <c r="F945" s="2">
        <v>15</v>
      </c>
      <c r="G945" s="8" t="s">
        <v>29</v>
      </c>
      <c r="H945" s="6">
        <v>957.95</v>
      </c>
      <c r="I945" s="6">
        <v>1329.26</v>
      </c>
      <c r="J945" s="8" t="s">
        <v>30</v>
      </c>
      <c r="K945" s="12">
        <v>0.21</v>
      </c>
      <c r="L945" s="8" t="s">
        <v>18</v>
      </c>
      <c r="M945" s="8" t="s">
        <v>19</v>
      </c>
      <c r="N945" s="10" t="s">
        <v>28</v>
      </c>
      <c r="O945" s="17">
        <f xml:space="preserve"> (Tabla1[[#This Row],[Unit_Price]] - Tabla1[[#This Row],[Unit_Cost]] ) * Tabla1[[#This Row],[Quantity_Sold]]</f>
        <v>5569.65</v>
      </c>
      <c r="P945" s="12">
        <f>Tabla1[[#This Row],[Profit]] / Tabla1[[#This Row],[Sales_Calculated]]</f>
        <v>0.2793358710861682</v>
      </c>
      <c r="Q945" s="20">
        <f xml:space="preserve"> Tabla1[[#This Row],[Unit_Price]] * Tabla1[[#This Row],[Quantity_Sold]]</f>
        <v>19938.900000000001</v>
      </c>
    </row>
    <row r="946" spans="1:17" x14ac:dyDescent="0.3">
      <c r="A946" s="2">
        <v>1086</v>
      </c>
      <c r="B946" s="1">
        <v>45288</v>
      </c>
      <c r="C946" s="8" t="s">
        <v>14</v>
      </c>
      <c r="D946" s="8" t="s">
        <v>21</v>
      </c>
      <c r="E946" s="6">
        <v>1837.37</v>
      </c>
      <c r="F946" s="2">
        <v>46</v>
      </c>
      <c r="G946" s="8" t="s">
        <v>16</v>
      </c>
      <c r="H946" s="6">
        <v>83.86</v>
      </c>
      <c r="I946" s="6">
        <v>526.14</v>
      </c>
      <c r="J946" s="8" t="s">
        <v>17</v>
      </c>
      <c r="K946" s="12">
        <v>0.11</v>
      </c>
      <c r="L946" s="8" t="s">
        <v>31</v>
      </c>
      <c r="M946" s="8" t="s">
        <v>19</v>
      </c>
      <c r="N946" s="10" t="s">
        <v>23</v>
      </c>
      <c r="O946" s="17">
        <f xml:space="preserve"> (Tabla1[[#This Row],[Unit_Price]] - Tabla1[[#This Row],[Unit_Cost]] ) * Tabla1[[#This Row],[Quantity_Sold]]</f>
        <v>20344.879999999997</v>
      </c>
      <c r="P946" s="12">
        <f>Tabla1[[#This Row],[Profit]] / Tabla1[[#This Row],[Sales_Calculated]]</f>
        <v>0.84061276466339752</v>
      </c>
      <c r="Q946" s="20">
        <f xml:space="preserve"> Tabla1[[#This Row],[Unit_Price]] * Tabla1[[#This Row],[Quantity_Sold]]</f>
        <v>24202.44</v>
      </c>
    </row>
    <row r="947" spans="1:17" x14ac:dyDescent="0.3">
      <c r="A947" s="2">
        <v>1056</v>
      </c>
      <c r="B947" s="1">
        <v>44940</v>
      </c>
      <c r="C947" s="8" t="s">
        <v>33</v>
      </c>
      <c r="D947" s="8" t="s">
        <v>21</v>
      </c>
      <c r="E947" s="6">
        <v>5720.5</v>
      </c>
      <c r="F947" s="2">
        <v>25</v>
      </c>
      <c r="G947" s="8" t="s">
        <v>26</v>
      </c>
      <c r="H947" s="6">
        <v>2361.7399999999998</v>
      </c>
      <c r="I947" s="6">
        <v>2584.35</v>
      </c>
      <c r="J947" s="8" t="s">
        <v>17</v>
      </c>
      <c r="K947" s="12">
        <v>0.2</v>
      </c>
      <c r="L947" s="8" t="s">
        <v>18</v>
      </c>
      <c r="M947" s="8" t="s">
        <v>19</v>
      </c>
      <c r="N947" s="10" t="s">
        <v>37</v>
      </c>
      <c r="O947" s="17">
        <f xml:space="preserve"> (Tabla1[[#This Row],[Unit_Price]] - Tabla1[[#This Row],[Unit_Cost]] ) * Tabla1[[#This Row],[Quantity_Sold]]</f>
        <v>5565.2500000000036</v>
      </c>
      <c r="P947" s="12">
        <f>Tabla1[[#This Row],[Profit]] / Tabla1[[#This Row],[Sales_Calculated]]</f>
        <v>8.6137713544992028E-2</v>
      </c>
      <c r="Q947" s="20">
        <f xml:space="preserve"> Tabla1[[#This Row],[Unit_Price]] * Tabla1[[#This Row],[Quantity_Sold]]</f>
        <v>64608.75</v>
      </c>
    </row>
    <row r="948" spans="1:17" x14ac:dyDescent="0.3">
      <c r="A948" s="2">
        <v>1094</v>
      </c>
      <c r="B948" s="1">
        <v>44938</v>
      </c>
      <c r="C948" s="8" t="s">
        <v>38</v>
      </c>
      <c r="D948" s="8" t="s">
        <v>21</v>
      </c>
      <c r="E948" s="6">
        <v>5835.21</v>
      </c>
      <c r="F948" s="2">
        <v>38</v>
      </c>
      <c r="G948" s="8" t="s">
        <v>26</v>
      </c>
      <c r="H948" s="6">
        <v>3443.98</v>
      </c>
      <c r="I948" s="6">
        <v>3820.3</v>
      </c>
      <c r="J948" s="8" t="s">
        <v>17</v>
      </c>
      <c r="K948" s="12">
        <v>0.01</v>
      </c>
      <c r="L948" s="8" t="s">
        <v>31</v>
      </c>
      <c r="M948" s="8" t="s">
        <v>22</v>
      </c>
      <c r="N948" s="10" t="s">
        <v>41</v>
      </c>
      <c r="O948" s="17">
        <f xml:space="preserve"> (Tabla1[[#This Row],[Unit_Price]] - Tabla1[[#This Row],[Unit_Cost]] ) * Tabla1[[#This Row],[Quantity_Sold]]</f>
        <v>14300.160000000007</v>
      </c>
      <c r="P948" s="12">
        <f>Tabla1[[#This Row],[Profit]] / Tabla1[[#This Row],[Sales_Calculated]]</f>
        <v>9.8505352982750094E-2</v>
      </c>
      <c r="Q948" s="20">
        <f xml:space="preserve"> Tabla1[[#This Row],[Unit_Price]] * Tabla1[[#This Row],[Quantity_Sold]]</f>
        <v>145171.4</v>
      </c>
    </row>
    <row r="949" spans="1:17" x14ac:dyDescent="0.3">
      <c r="A949" s="2">
        <v>1063</v>
      </c>
      <c r="B949" s="1">
        <v>45013</v>
      </c>
      <c r="C949" s="8" t="s">
        <v>33</v>
      </c>
      <c r="D949" s="8" t="s">
        <v>25</v>
      </c>
      <c r="E949" s="6">
        <v>4947.28</v>
      </c>
      <c r="F949" s="2">
        <v>42</v>
      </c>
      <c r="G949" s="8" t="s">
        <v>26</v>
      </c>
      <c r="H949" s="6">
        <v>1170.07</v>
      </c>
      <c r="I949" s="6">
        <v>1669.94999999999</v>
      </c>
      <c r="J949" s="8" t="s">
        <v>17</v>
      </c>
      <c r="K949" s="12">
        <v>0.12</v>
      </c>
      <c r="L949" s="8" t="s">
        <v>27</v>
      </c>
      <c r="M949" s="8" t="s">
        <v>22</v>
      </c>
      <c r="N949" s="10" t="s">
        <v>44</v>
      </c>
      <c r="O949" s="17">
        <f xml:space="preserve"> (Tabla1[[#This Row],[Unit_Price]] - Tabla1[[#This Row],[Unit_Cost]] ) * Tabla1[[#This Row],[Quantity_Sold]]</f>
        <v>20994.959999999584</v>
      </c>
      <c r="P949" s="12">
        <f>Tabla1[[#This Row],[Profit]] / Tabla1[[#This Row],[Sales_Calculated]]</f>
        <v>0.29933830354201807</v>
      </c>
      <c r="Q949" s="20">
        <f xml:space="preserve"> Tabla1[[#This Row],[Unit_Price]] * Tabla1[[#This Row],[Quantity_Sold]]</f>
        <v>70137.899999999587</v>
      </c>
    </row>
    <row r="950" spans="1:17" x14ac:dyDescent="0.3">
      <c r="A950" s="2">
        <v>1048</v>
      </c>
      <c r="B950" s="1">
        <v>44938</v>
      </c>
      <c r="C950" s="8" t="s">
        <v>33</v>
      </c>
      <c r="D950" s="8" t="s">
        <v>34</v>
      </c>
      <c r="E950" s="6">
        <v>6482.98</v>
      </c>
      <c r="F950" s="2">
        <v>47</v>
      </c>
      <c r="G950" s="8" t="s">
        <v>29</v>
      </c>
      <c r="H950" s="6">
        <v>702.44</v>
      </c>
      <c r="I950" s="6">
        <v>1067.6600000000001</v>
      </c>
      <c r="J950" s="8" t="s">
        <v>30</v>
      </c>
      <c r="K950" s="12">
        <v>0.24</v>
      </c>
      <c r="L950" s="8" t="s">
        <v>18</v>
      </c>
      <c r="M950" s="8" t="s">
        <v>22</v>
      </c>
      <c r="N950" s="10" t="s">
        <v>36</v>
      </c>
      <c r="O950" s="17">
        <f xml:space="preserve"> (Tabla1[[#This Row],[Unit_Price]] - Tabla1[[#This Row],[Unit_Cost]] ) * Tabla1[[#This Row],[Quantity_Sold]]</f>
        <v>17165.34</v>
      </c>
      <c r="P950" s="12">
        <f>Tabla1[[#This Row],[Profit]] / Tabla1[[#This Row],[Sales_Calculated]]</f>
        <v>0.34207519247700574</v>
      </c>
      <c r="Q950" s="20">
        <f xml:space="preserve"> Tabla1[[#This Row],[Unit_Price]] * Tabla1[[#This Row],[Quantity_Sold]]</f>
        <v>50180.020000000004</v>
      </c>
    </row>
    <row r="951" spans="1:17" x14ac:dyDescent="0.3">
      <c r="A951" s="2">
        <v>1061</v>
      </c>
      <c r="B951" s="1">
        <v>44951</v>
      </c>
      <c r="C951" s="8" t="s">
        <v>14</v>
      </c>
      <c r="D951" s="8" t="s">
        <v>34</v>
      </c>
      <c r="E951" s="6">
        <v>2375.2800000000002</v>
      </c>
      <c r="F951" s="2">
        <v>38</v>
      </c>
      <c r="G951" s="8" t="s">
        <v>16</v>
      </c>
      <c r="H951" s="6">
        <v>4440.8599999999997</v>
      </c>
      <c r="I951" s="6">
        <v>4506.8099999999904</v>
      </c>
      <c r="J951" s="8" t="s">
        <v>17</v>
      </c>
      <c r="K951" s="12">
        <v>0.24</v>
      </c>
      <c r="L951" s="8" t="s">
        <v>27</v>
      </c>
      <c r="M951" s="8" t="s">
        <v>19</v>
      </c>
      <c r="N951" s="10" t="s">
        <v>46</v>
      </c>
      <c r="O951" s="17">
        <f xml:space="preserve"> (Tabla1[[#This Row],[Unit_Price]] - Tabla1[[#This Row],[Unit_Cost]] ) * Tabla1[[#This Row],[Quantity_Sold]]</f>
        <v>2506.0999999996475</v>
      </c>
      <c r="P951" s="12">
        <f>Tabla1[[#This Row],[Profit]] / Tabla1[[#This Row],[Sales_Calculated]]</f>
        <v>1.4633410327923936E-2</v>
      </c>
      <c r="Q951" s="20">
        <f xml:space="preserve"> Tabla1[[#This Row],[Unit_Price]] * Tabla1[[#This Row],[Quantity_Sold]]</f>
        <v>171258.77999999962</v>
      </c>
    </row>
    <row r="952" spans="1:17" x14ac:dyDescent="0.3">
      <c r="A952" s="2">
        <v>1081</v>
      </c>
      <c r="B952" s="1">
        <v>45227</v>
      </c>
      <c r="C952" s="8" t="s">
        <v>33</v>
      </c>
      <c r="D952" s="8" t="s">
        <v>15</v>
      </c>
      <c r="E952" s="6">
        <v>5571.36</v>
      </c>
      <c r="F952" s="2">
        <v>23</v>
      </c>
      <c r="G952" s="8" t="s">
        <v>26</v>
      </c>
      <c r="H952" s="6">
        <v>1411.37</v>
      </c>
      <c r="I952" s="6">
        <v>1675.35</v>
      </c>
      <c r="J952" s="8" t="s">
        <v>30</v>
      </c>
      <c r="K952" s="12">
        <v>0.21</v>
      </c>
      <c r="L952" s="8" t="s">
        <v>18</v>
      </c>
      <c r="M952" s="8" t="s">
        <v>22</v>
      </c>
      <c r="N952" s="10" t="s">
        <v>53</v>
      </c>
      <c r="O952" s="17">
        <f xml:space="preserve"> (Tabla1[[#This Row],[Unit_Price]] - Tabla1[[#This Row],[Unit_Cost]] ) * Tabla1[[#This Row],[Quantity_Sold]]</f>
        <v>6071.5400000000009</v>
      </c>
      <c r="P952" s="12">
        <f>Tabla1[[#This Row],[Profit]] / Tabla1[[#This Row],[Sales_Calculated]]</f>
        <v>0.1575670755364551</v>
      </c>
      <c r="Q952" s="20">
        <f xml:space="preserve"> Tabla1[[#This Row],[Unit_Price]] * Tabla1[[#This Row],[Quantity_Sold]]</f>
        <v>38533.049999999996</v>
      </c>
    </row>
    <row r="953" spans="1:17" x14ac:dyDescent="0.3">
      <c r="A953" s="2">
        <v>1026</v>
      </c>
      <c r="B953" s="1">
        <v>45169</v>
      </c>
      <c r="C953" s="8" t="s">
        <v>42</v>
      </c>
      <c r="D953" s="8" t="s">
        <v>34</v>
      </c>
      <c r="E953" s="6">
        <v>3784.52</v>
      </c>
      <c r="F953" s="2">
        <v>25</v>
      </c>
      <c r="G953" s="8" t="s">
        <v>35</v>
      </c>
      <c r="H953" s="6">
        <v>1156.8800000000001</v>
      </c>
      <c r="I953" s="6">
        <v>1454.68</v>
      </c>
      <c r="J953" s="8" t="s">
        <v>17</v>
      </c>
      <c r="K953" s="12">
        <v>0.06</v>
      </c>
      <c r="L953" s="8" t="s">
        <v>31</v>
      </c>
      <c r="M953" s="8" t="s">
        <v>19</v>
      </c>
      <c r="N953" s="10" t="s">
        <v>52</v>
      </c>
      <c r="O953" s="17">
        <f xml:space="preserve"> (Tabla1[[#This Row],[Unit_Price]] - Tabla1[[#This Row],[Unit_Cost]] ) * Tabla1[[#This Row],[Quantity_Sold]]</f>
        <v>7444.9999999999991</v>
      </c>
      <c r="P953" s="12">
        <f>Tabla1[[#This Row],[Profit]] / Tabla1[[#This Row],[Sales_Calculated]]</f>
        <v>0.20471856353287318</v>
      </c>
      <c r="Q953" s="20">
        <f xml:space="preserve"> Tabla1[[#This Row],[Unit_Price]] * Tabla1[[#This Row],[Quantity_Sold]]</f>
        <v>36367</v>
      </c>
    </row>
    <row r="954" spans="1:17" x14ac:dyDescent="0.3">
      <c r="A954" s="2">
        <v>1036</v>
      </c>
      <c r="B954" s="1">
        <v>45048</v>
      </c>
      <c r="C954" s="8" t="s">
        <v>24</v>
      </c>
      <c r="D954" s="8" t="s">
        <v>15</v>
      </c>
      <c r="E954" s="6">
        <v>6650.51</v>
      </c>
      <c r="F954" s="2">
        <v>42</v>
      </c>
      <c r="G954" s="8" t="s">
        <v>16</v>
      </c>
      <c r="H954" s="6">
        <v>4292.63</v>
      </c>
      <c r="I954" s="6">
        <v>4387.99</v>
      </c>
      <c r="J954" s="8" t="s">
        <v>30</v>
      </c>
      <c r="K954" s="12">
        <v>7.0000000000000007E-2</v>
      </c>
      <c r="L954" s="8" t="s">
        <v>31</v>
      </c>
      <c r="M954" s="8" t="s">
        <v>22</v>
      </c>
      <c r="N954" s="10" t="s">
        <v>45</v>
      </c>
      <c r="O954" s="17">
        <f xml:space="preserve"> (Tabla1[[#This Row],[Unit_Price]] - Tabla1[[#This Row],[Unit_Cost]] ) * Tabla1[[#This Row],[Quantity_Sold]]</f>
        <v>4005.1199999999862</v>
      </c>
      <c r="P954" s="12">
        <f>Tabla1[[#This Row],[Profit]] / Tabla1[[#This Row],[Sales_Calculated]]</f>
        <v>2.1732045879776316E-2</v>
      </c>
      <c r="Q954" s="20">
        <f xml:space="preserve"> Tabla1[[#This Row],[Unit_Price]] * Tabla1[[#This Row],[Quantity_Sold]]</f>
        <v>184295.58</v>
      </c>
    </row>
    <row r="955" spans="1:17" x14ac:dyDescent="0.3">
      <c r="A955" s="2">
        <v>1001</v>
      </c>
      <c r="B955" s="1">
        <v>45073</v>
      </c>
      <c r="C955" s="8" t="s">
        <v>42</v>
      </c>
      <c r="D955" s="8" t="s">
        <v>25</v>
      </c>
      <c r="E955" s="6">
        <v>1498.11</v>
      </c>
      <c r="F955" s="2">
        <v>7</v>
      </c>
      <c r="G955" s="8" t="s">
        <v>35</v>
      </c>
      <c r="H955" s="6">
        <v>4094.68</v>
      </c>
      <c r="I955" s="6">
        <v>4576.5</v>
      </c>
      <c r="J955" s="8" t="s">
        <v>30</v>
      </c>
      <c r="K955" s="12">
        <v>0.3</v>
      </c>
      <c r="L955" s="8" t="s">
        <v>18</v>
      </c>
      <c r="M955" s="8" t="s">
        <v>22</v>
      </c>
      <c r="N955" s="10" t="s">
        <v>43</v>
      </c>
      <c r="O955" s="17">
        <f xml:space="preserve"> (Tabla1[[#This Row],[Unit_Price]] - Tabla1[[#This Row],[Unit_Cost]] ) * Tabla1[[#This Row],[Quantity_Sold]]</f>
        <v>3372.7400000000011</v>
      </c>
      <c r="P955" s="12">
        <f>Tabla1[[#This Row],[Profit]] / Tabla1[[#This Row],[Sales_Calculated]]</f>
        <v>0.10528132852616633</v>
      </c>
      <c r="Q955" s="20">
        <f xml:space="preserve"> Tabla1[[#This Row],[Unit_Price]] * Tabla1[[#This Row],[Quantity_Sold]]</f>
        <v>32035.5</v>
      </c>
    </row>
    <row r="956" spans="1:17" x14ac:dyDescent="0.3">
      <c r="A956" s="2">
        <v>1008</v>
      </c>
      <c r="B956" s="1">
        <v>44981</v>
      </c>
      <c r="C956" s="8" t="s">
        <v>38</v>
      </c>
      <c r="D956" s="8" t="s">
        <v>21</v>
      </c>
      <c r="E956" s="6">
        <v>5751.69</v>
      </c>
      <c r="F956" s="2">
        <v>22</v>
      </c>
      <c r="G956" s="8" t="s">
        <v>35</v>
      </c>
      <c r="H956" s="6">
        <v>2269.3200000000002</v>
      </c>
      <c r="I956" s="6">
        <v>2365.35</v>
      </c>
      <c r="J956" s="8" t="s">
        <v>30</v>
      </c>
      <c r="K956" s="12">
        <v>0.03</v>
      </c>
      <c r="L956" s="8" t="s">
        <v>18</v>
      </c>
      <c r="M956" s="8" t="s">
        <v>22</v>
      </c>
      <c r="N956" s="10" t="s">
        <v>41</v>
      </c>
      <c r="O956" s="17">
        <f xml:space="preserve"> (Tabla1[[#This Row],[Unit_Price]] - Tabla1[[#This Row],[Unit_Cost]] ) * Tabla1[[#This Row],[Quantity_Sold]]</f>
        <v>2112.6599999999944</v>
      </c>
      <c r="P956" s="12">
        <f>Tabla1[[#This Row],[Profit]] / Tabla1[[#This Row],[Sales_Calculated]]</f>
        <v>4.0598642906969268E-2</v>
      </c>
      <c r="Q956" s="20">
        <f xml:space="preserve"> Tabla1[[#This Row],[Unit_Price]] * Tabla1[[#This Row],[Quantity_Sold]]</f>
        <v>52037.7</v>
      </c>
    </row>
    <row r="957" spans="1:17" x14ac:dyDescent="0.3">
      <c r="A957" s="2">
        <v>1099</v>
      </c>
      <c r="B957" s="1">
        <v>45164</v>
      </c>
      <c r="C957" s="8" t="s">
        <v>24</v>
      </c>
      <c r="D957" s="8" t="s">
        <v>21</v>
      </c>
      <c r="E957" s="6">
        <v>1934.18</v>
      </c>
      <c r="F957" s="2">
        <v>17</v>
      </c>
      <c r="G957" s="8" t="s">
        <v>26</v>
      </c>
      <c r="H957" s="6">
        <v>2471.73</v>
      </c>
      <c r="I957" s="6">
        <v>2568.73</v>
      </c>
      <c r="J957" s="8" t="s">
        <v>30</v>
      </c>
      <c r="K957" s="12">
        <v>0.05</v>
      </c>
      <c r="L957" s="8" t="s">
        <v>18</v>
      </c>
      <c r="M957" s="8" t="s">
        <v>22</v>
      </c>
      <c r="N957" s="10" t="s">
        <v>47</v>
      </c>
      <c r="O957" s="17">
        <f xml:space="preserve"> (Tabla1[[#This Row],[Unit_Price]] - Tabla1[[#This Row],[Unit_Cost]] ) * Tabla1[[#This Row],[Quantity_Sold]]</f>
        <v>1649</v>
      </c>
      <c r="P957" s="12">
        <f>Tabla1[[#This Row],[Profit]] / Tabla1[[#This Row],[Sales_Calculated]]</f>
        <v>3.7761851187162528E-2</v>
      </c>
      <c r="Q957" s="20">
        <f xml:space="preserve"> Tabla1[[#This Row],[Unit_Price]] * Tabla1[[#This Row],[Quantity_Sold]]</f>
        <v>43668.41</v>
      </c>
    </row>
    <row r="958" spans="1:17" x14ac:dyDescent="0.3">
      <c r="A958" s="2">
        <v>1052</v>
      </c>
      <c r="B958" s="1">
        <v>45282</v>
      </c>
      <c r="C958" s="8" t="s">
        <v>33</v>
      </c>
      <c r="D958" s="8" t="s">
        <v>21</v>
      </c>
      <c r="E958" s="6">
        <v>2858.57</v>
      </c>
      <c r="F958" s="2">
        <v>18</v>
      </c>
      <c r="G958" s="8" t="s">
        <v>26</v>
      </c>
      <c r="H958" s="6">
        <v>1127.8599999999999</v>
      </c>
      <c r="I958" s="6">
        <v>1586.29</v>
      </c>
      <c r="J958" s="8" t="s">
        <v>30</v>
      </c>
      <c r="K958" s="12">
        <v>0.04</v>
      </c>
      <c r="L958" s="8" t="s">
        <v>31</v>
      </c>
      <c r="M958" s="8" t="s">
        <v>19</v>
      </c>
      <c r="N958" s="10" t="s">
        <v>37</v>
      </c>
      <c r="O958" s="17">
        <f xml:space="preserve"> (Tabla1[[#This Row],[Unit_Price]] - Tabla1[[#This Row],[Unit_Cost]] ) * Tabla1[[#This Row],[Quantity_Sold]]</f>
        <v>8251.7400000000016</v>
      </c>
      <c r="P958" s="12">
        <f>Tabla1[[#This Row],[Profit]] / Tabla1[[#This Row],[Sales_Calculated]]</f>
        <v>0.28899507656229317</v>
      </c>
      <c r="Q958" s="20">
        <f xml:space="preserve"> Tabla1[[#This Row],[Unit_Price]] * Tabla1[[#This Row],[Quantity_Sold]]</f>
        <v>28553.22</v>
      </c>
    </row>
    <row r="959" spans="1:17" x14ac:dyDescent="0.3">
      <c r="A959" s="2">
        <v>1079</v>
      </c>
      <c r="B959" s="1">
        <v>45099</v>
      </c>
      <c r="C959" s="8" t="s">
        <v>38</v>
      </c>
      <c r="D959" s="8" t="s">
        <v>34</v>
      </c>
      <c r="E959" s="6">
        <v>2265.23</v>
      </c>
      <c r="F959" s="2">
        <v>49</v>
      </c>
      <c r="G959" s="8" t="s">
        <v>29</v>
      </c>
      <c r="H959" s="6">
        <v>437.59</v>
      </c>
      <c r="I959" s="6">
        <v>675.54</v>
      </c>
      <c r="J959" s="8" t="s">
        <v>17</v>
      </c>
      <c r="K959" s="12">
        <v>0.1</v>
      </c>
      <c r="L959" s="8" t="s">
        <v>18</v>
      </c>
      <c r="M959" s="8" t="s">
        <v>19</v>
      </c>
      <c r="N959" s="10" t="s">
        <v>48</v>
      </c>
      <c r="O959" s="17">
        <f xml:space="preserve"> (Tabla1[[#This Row],[Unit_Price]] - Tabla1[[#This Row],[Unit_Cost]] ) * Tabla1[[#This Row],[Quantity_Sold]]</f>
        <v>11659.55</v>
      </c>
      <c r="P959" s="12">
        <f>Tabla1[[#This Row],[Profit]] / Tabla1[[#This Row],[Sales_Calculated]]</f>
        <v>0.35223672913521031</v>
      </c>
      <c r="Q959" s="20">
        <f xml:space="preserve"> Tabla1[[#This Row],[Unit_Price]] * Tabla1[[#This Row],[Quantity_Sold]]</f>
        <v>33101.46</v>
      </c>
    </row>
    <row r="960" spans="1:17" x14ac:dyDescent="0.3">
      <c r="A960" s="2">
        <v>1047</v>
      </c>
      <c r="B960" s="1">
        <v>45147</v>
      </c>
      <c r="C960" s="8" t="s">
        <v>24</v>
      </c>
      <c r="D960" s="8" t="s">
        <v>15</v>
      </c>
      <c r="E960" s="6">
        <v>1910.09</v>
      </c>
      <c r="F960" s="2">
        <v>41</v>
      </c>
      <c r="G960" s="8" t="s">
        <v>29</v>
      </c>
      <c r="H960" s="6">
        <v>2888.49</v>
      </c>
      <c r="I960" s="6">
        <v>2929.45</v>
      </c>
      <c r="J960" s="8" t="s">
        <v>30</v>
      </c>
      <c r="K960" s="12">
        <v>0.06</v>
      </c>
      <c r="L960" s="8" t="s">
        <v>18</v>
      </c>
      <c r="M960" s="8" t="s">
        <v>22</v>
      </c>
      <c r="N960" s="10" t="s">
        <v>45</v>
      </c>
      <c r="O960" s="17">
        <f xml:space="preserve"> (Tabla1[[#This Row],[Unit_Price]] - Tabla1[[#This Row],[Unit_Cost]] ) * Tabla1[[#This Row],[Quantity_Sold]]</f>
        <v>1679.3600000000015</v>
      </c>
      <c r="P960" s="12">
        <f>Tabla1[[#This Row],[Profit]] / Tabla1[[#This Row],[Sales_Calculated]]</f>
        <v>1.3982146819368836E-2</v>
      </c>
      <c r="Q960" s="20">
        <f xml:space="preserve"> Tabla1[[#This Row],[Unit_Price]] * Tabla1[[#This Row],[Quantity_Sold]]</f>
        <v>120107.45</v>
      </c>
    </row>
    <row r="961" spans="1:17" x14ac:dyDescent="0.3">
      <c r="A961" s="2">
        <v>1056</v>
      </c>
      <c r="B961" s="1">
        <v>45045</v>
      </c>
      <c r="C961" s="8" t="s">
        <v>33</v>
      </c>
      <c r="D961" s="8" t="s">
        <v>15</v>
      </c>
      <c r="E961" s="6">
        <v>8274.5400000000009</v>
      </c>
      <c r="F961" s="2">
        <v>10</v>
      </c>
      <c r="G961" s="8" t="s">
        <v>29</v>
      </c>
      <c r="H961" s="6">
        <v>536.80999999999995</v>
      </c>
      <c r="I961" s="6">
        <v>839.92</v>
      </c>
      <c r="J961" s="8" t="s">
        <v>17</v>
      </c>
      <c r="K961" s="12">
        <v>0.15</v>
      </c>
      <c r="L961" s="8" t="s">
        <v>27</v>
      </c>
      <c r="M961" s="8" t="s">
        <v>19</v>
      </c>
      <c r="N961" s="10" t="s">
        <v>53</v>
      </c>
      <c r="O961" s="17">
        <f xml:space="preserve"> (Tabla1[[#This Row],[Unit_Price]] - Tabla1[[#This Row],[Unit_Cost]] ) * Tabla1[[#This Row],[Quantity_Sold]]</f>
        <v>3031.1000000000004</v>
      </c>
      <c r="P961" s="12">
        <f>Tabla1[[#This Row],[Profit]] / Tabla1[[#This Row],[Sales_Calculated]]</f>
        <v>0.36087960758167453</v>
      </c>
      <c r="Q961" s="20">
        <f xml:space="preserve"> Tabla1[[#This Row],[Unit_Price]] * Tabla1[[#This Row],[Quantity_Sold]]</f>
        <v>8399.1999999999989</v>
      </c>
    </row>
    <row r="962" spans="1:17" x14ac:dyDescent="0.3">
      <c r="A962" s="2">
        <v>1086</v>
      </c>
      <c r="B962" s="1">
        <v>45235</v>
      </c>
      <c r="C962" s="8" t="s">
        <v>42</v>
      </c>
      <c r="D962" s="8" t="s">
        <v>25</v>
      </c>
      <c r="E962" s="6">
        <v>2928.5</v>
      </c>
      <c r="F962" s="2">
        <v>10</v>
      </c>
      <c r="G962" s="8" t="s">
        <v>16</v>
      </c>
      <c r="H962" s="6">
        <v>2273.91</v>
      </c>
      <c r="I962" s="6">
        <v>2578.7999999999902</v>
      </c>
      <c r="J962" s="8" t="s">
        <v>30</v>
      </c>
      <c r="K962" s="12">
        <v>0.14000000000000001</v>
      </c>
      <c r="L962" s="8" t="s">
        <v>18</v>
      </c>
      <c r="M962" s="8" t="s">
        <v>19</v>
      </c>
      <c r="N962" s="10" t="s">
        <v>43</v>
      </c>
      <c r="O962" s="17">
        <f xml:space="preserve"> (Tabla1[[#This Row],[Unit_Price]] - Tabla1[[#This Row],[Unit_Cost]] ) * Tabla1[[#This Row],[Quantity_Sold]]</f>
        <v>3048.8999999999032</v>
      </c>
      <c r="P962" s="12">
        <f>Tabla1[[#This Row],[Profit]] / Tabla1[[#This Row],[Sales_Calculated]]</f>
        <v>0.11822940902745133</v>
      </c>
      <c r="Q962" s="20">
        <f xml:space="preserve"> Tabla1[[#This Row],[Unit_Price]] * Tabla1[[#This Row],[Quantity_Sold]]</f>
        <v>25787.999999999902</v>
      </c>
    </row>
    <row r="963" spans="1:17" x14ac:dyDescent="0.3">
      <c r="A963" s="2">
        <v>1014</v>
      </c>
      <c r="B963" s="1">
        <v>45109</v>
      </c>
      <c r="C963" s="8" t="s">
        <v>24</v>
      </c>
      <c r="D963" s="8" t="s">
        <v>34</v>
      </c>
      <c r="E963" s="6">
        <v>9278.5300000000007</v>
      </c>
      <c r="F963" s="2">
        <v>7</v>
      </c>
      <c r="G963" s="8" t="s">
        <v>29</v>
      </c>
      <c r="H963" s="6">
        <v>4705.46</v>
      </c>
      <c r="I963" s="6">
        <v>4747.07</v>
      </c>
      <c r="J963" s="8" t="s">
        <v>30</v>
      </c>
      <c r="K963" s="12">
        <v>0.27</v>
      </c>
      <c r="L963" s="8" t="s">
        <v>27</v>
      </c>
      <c r="M963" s="8" t="s">
        <v>22</v>
      </c>
      <c r="N963" s="10" t="s">
        <v>50</v>
      </c>
      <c r="O963" s="17">
        <f xml:space="preserve"> (Tabla1[[#This Row],[Unit_Price]] - Tabla1[[#This Row],[Unit_Cost]] ) * Tabla1[[#This Row],[Quantity_Sold]]</f>
        <v>291.26999999999771</v>
      </c>
      <c r="P963" s="12">
        <f>Tabla1[[#This Row],[Profit]] / Tabla1[[#This Row],[Sales_Calculated]]</f>
        <v>8.7654068720283609E-3</v>
      </c>
      <c r="Q963" s="20">
        <f xml:space="preserve"> Tabla1[[#This Row],[Unit_Price]] * Tabla1[[#This Row],[Quantity_Sold]]</f>
        <v>33229.49</v>
      </c>
    </row>
    <row r="964" spans="1:17" x14ac:dyDescent="0.3">
      <c r="A964" s="2">
        <v>1090</v>
      </c>
      <c r="B964" s="1">
        <v>45214</v>
      </c>
      <c r="C964" s="8" t="s">
        <v>33</v>
      </c>
      <c r="D964" s="8" t="s">
        <v>25</v>
      </c>
      <c r="E964" s="6">
        <v>9702.27</v>
      </c>
      <c r="F964" s="2">
        <v>48</v>
      </c>
      <c r="G964" s="8" t="s">
        <v>35</v>
      </c>
      <c r="H964" s="6">
        <v>4766.53</v>
      </c>
      <c r="I964" s="6">
        <v>5253.07</v>
      </c>
      <c r="J964" s="8" t="s">
        <v>17</v>
      </c>
      <c r="K964" s="12">
        <v>0.01</v>
      </c>
      <c r="L964" s="8" t="s">
        <v>27</v>
      </c>
      <c r="M964" s="8" t="s">
        <v>19</v>
      </c>
      <c r="N964" s="10" t="s">
        <v>44</v>
      </c>
      <c r="O964" s="17">
        <f xml:space="preserve"> (Tabla1[[#This Row],[Unit_Price]] - Tabla1[[#This Row],[Unit_Cost]] ) * Tabla1[[#This Row],[Quantity_Sold]]</f>
        <v>23353.919999999998</v>
      </c>
      <c r="P964" s="12">
        <f>Tabla1[[#This Row],[Profit]] / Tabla1[[#This Row],[Sales_Calculated]]</f>
        <v>9.2620124993575179E-2</v>
      </c>
      <c r="Q964" s="20">
        <f xml:space="preserve"> Tabla1[[#This Row],[Unit_Price]] * Tabla1[[#This Row],[Quantity_Sold]]</f>
        <v>252147.36</v>
      </c>
    </row>
    <row r="965" spans="1:17" x14ac:dyDescent="0.3">
      <c r="A965" s="2">
        <v>1028</v>
      </c>
      <c r="B965" s="1">
        <v>45233</v>
      </c>
      <c r="C965" s="8" t="s">
        <v>42</v>
      </c>
      <c r="D965" s="8" t="s">
        <v>15</v>
      </c>
      <c r="E965" s="6">
        <v>5755.48</v>
      </c>
      <c r="F965" s="2">
        <v>38</v>
      </c>
      <c r="G965" s="8" t="s">
        <v>29</v>
      </c>
      <c r="H965" s="6">
        <v>1234.69</v>
      </c>
      <c r="I965" s="6">
        <v>1511.26</v>
      </c>
      <c r="J965" s="8" t="s">
        <v>30</v>
      </c>
      <c r="K965" s="12">
        <v>0.1</v>
      </c>
      <c r="L965" s="8" t="s">
        <v>27</v>
      </c>
      <c r="M965" s="8" t="s">
        <v>19</v>
      </c>
      <c r="N965" s="10" t="s">
        <v>49</v>
      </c>
      <c r="O965" s="17">
        <f xml:space="preserve"> (Tabla1[[#This Row],[Unit_Price]] - Tabla1[[#This Row],[Unit_Cost]] ) * Tabla1[[#This Row],[Quantity_Sold]]</f>
        <v>10509.659999999998</v>
      </c>
      <c r="P965" s="12">
        <f>Tabla1[[#This Row],[Profit]] / Tabla1[[#This Row],[Sales_Calculated]]</f>
        <v>0.18300623320937492</v>
      </c>
      <c r="Q965" s="20">
        <f xml:space="preserve"> Tabla1[[#This Row],[Unit_Price]] * Tabla1[[#This Row],[Quantity_Sold]]</f>
        <v>57427.88</v>
      </c>
    </row>
    <row r="966" spans="1:17" x14ac:dyDescent="0.3">
      <c r="A966" s="2">
        <v>1087</v>
      </c>
      <c r="B966" s="1">
        <v>45226</v>
      </c>
      <c r="C966" s="8" t="s">
        <v>38</v>
      </c>
      <c r="D966" s="8" t="s">
        <v>15</v>
      </c>
      <c r="E966" s="6">
        <v>1515.71</v>
      </c>
      <c r="F966" s="2">
        <v>27</v>
      </c>
      <c r="G966" s="8" t="s">
        <v>26</v>
      </c>
      <c r="H966" s="6">
        <v>3139.36</v>
      </c>
      <c r="I966" s="6">
        <v>3423.66</v>
      </c>
      <c r="J966" s="8" t="s">
        <v>30</v>
      </c>
      <c r="K966" s="12">
        <v>0.18</v>
      </c>
      <c r="L966" s="8" t="s">
        <v>31</v>
      </c>
      <c r="M966" s="8" t="s">
        <v>19</v>
      </c>
      <c r="N966" s="10" t="s">
        <v>40</v>
      </c>
      <c r="O966" s="17">
        <f xml:space="preserve"> (Tabla1[[#This Row],[Unit_Price]] - Tabla1[[#This Row],[Unit_Cost]] ) * Tabla1[[#This Row],[Quantity_Sold]]</f>
        <v>7676.0999999999931</v>
      </c>
      <c r="P966" s="12">
        <f>Tabla1[[#This Row],[Profit]] / Tabla1[[#This Row],[Sales_Calculated]]</f>
        <v>8.3039787829398873E-2</v>
      </c>
      <c r="Q966" s="20">
        <f xml:space="preserve"> Tabla1[[#This Row],[Unit_Price]] * Tabla1[[#This Row],[Quantity_Sold]]</f>
        <v>92438.819999999992</v>
      </c>
    </row>
    <row r="967" spans="1:17" x14ac:dyDescent="0.3">
      <c r="A967" s="2">
        <v>1078</v>
      </c>
      <c r="B967" s="1">
        <v>45008</v>
      </c>
      <c r="C967" s="8" t="s">
        <v>38</v>
      </c>
      <c r="D967" s="8" t="s">
        <v>21</v>
      </c>
      <c r="E967" s="6">
        <v>3808.03</v>
      </c>
      <c r="F967" s="2">
        <v>33</v>
      </c>
      <c r="G967" s="8" t="s">
        <v>29</v>
      </c>
      <c r="H967" s="6">
        <v>2396.6799999999998</v>
      </c>
      <c r="I967" s="6">
        <v>2661.54</v>
      </c>
      <c r="J967" s="8" t="s">
        <v>30</v>
      </c>
      <c r="K967" s="12">
        <v>0.18</v>
      </c>
      <c r="L967" s="8" t="s">
        <v>27</v>
      </c>
      <c r="M967" s="8" t="s">
        <v>19</v>
      </c>
      <c r="N967" s="10" t="s">
        <v>41</v>
      </c>
      <c r="O967" s="17">
        <f xml:space="preserve"> (Tabla1[[#This Row],[Unit_Price]] - Tabla1[[#This Row],[Unit_Cost]] ) * Tabla1[[#This Row],[Quantity_Sold]]</f>
        <v>8740.3800000000047</v>
      </c>
      <c r="P967" s="12">
        <f>Tabla1[[#This Row],[Profit]] / Tabla1[[#This Row],[Sales_Calculated]]</f>
        <v>9.9513815309933404E-2</v>
      </c>
      <c r="Q967" s="20">
        <f xml:space="preserve"> Tabla1[[#This Row],[Unit_Price]] * Tabla1[[#This Row],[Quantity_Sold]]</f>
        <v>87830.819999999992</v>
      </c>
    </row>
    <row r="968" spans="1:17" x14ac:dyDescent="0.3">
      <c r="A968" s="2">
        <v>1088</v>
      </c>
      <c r="B968" s="1">
        <v>45137</v>
      </c>
      <c r="C968" s="8" t="s">
        <v>38</v>
      </c>
      <c r="D968" s="8" t="s">
        <v>34</v>
      </c>
      <c r="E968" s="6">
        <v>7997.55</v>
      </c>
      <c r="F968" s="2">
        <v>1</v>
      </c>
      <c r="G968" s="8" t="s">
        <v>16</v>
      </c>
      <c r="H968" s="6">
        <v>4384.6400000000003</v>
      </c>
      <c r="I968" s="6">
        <v>4693.8999999999996</v>
      </c>
      <c r="J968" s="8" t="s">
        <v>30</v>
      </c>
      <c r="K968" s="12">
        <v>0.14000000000000001</v>
      </c>
      <c r="L968" s="8" t="s">
        <v>18</v>
      </c>
      <c r="M968" s="8" t="s">
        <v>22</v>
      </c>
      <c r="N968" s="10" t="s">
        <v>48</v>
      </c>
      <c r="O968" s="17">
        <f xml:space="preserve"> (Tabla1[[#This Row],[Unit_Price]] - Tabla1[[#This Row],[Unit_Cost]] ) * Tabla1[[#This Row],[Quantity_Sold]]</f>
        <v>309.25999999999931</v>
      </c>
      <c r="P968" s="12">
        <f>Tabla1[[#This Row],[Profit]] / Tabla1[[#This Row],[Sales_Calculated]]</f>
        <v>6.5885510982338635E-2</v>
      </c>
      <c r="Q968" s="20">
        <f xml:space="preserve"> Tabla1[[#This Row],[Unit_Price]] * Tabla1[[#This Row],[Quantity_Sold]]</f>
        <v>4693.8999999999996</v>
      </c>
    </row>
    <row r="969" spans="1:17" x14ac:dyDescent="0.3">
      <c r="A969" s="2">
        <v>1002</v>
      </c>
      <c r="B969" s="1">
        <v>45076</v>
      </c>
      <c r="C969" s="8" t="s">
        <v>38</v>
      </c>
      <c r="D969" s="8" t="s">
        <v>15</v>
      </c>
      <c r="E969" s="6">
        <v>3737.17</v>
      </c>
      <c r="F969" s="2">
        <v>44</v>
      </c>
      <c r="G969" s="8" t="s">
        <v>16</v>
      </c>
      <c r="H969" s="6">
        <v>1393.58</v>
      </c>
      <c r="I969" s="6">
        <v>1533.09</v>
      </c>
      <c r="J969" s="8" t="s">
        <v>17</v>
      </c>
      <c r="K969" s="12">
        <v>0.24</v>
      </c>
      <c r="L969" s="8" t="s">
        <v>31</v>
      </c>
      <c r="M969" s="8" t="s">
        <v>22</v>
      </c>
      <c r="N969" s="10" t="s">
        <v>40</v>
      </c>
      <c r="O969" s="17">
        <f xml:space="preserve"> (Tabla1[[#This Row],[Unit_Price]] - Tabla1[[#This Row],[Unit_Cost]] ) * Tabla1[[#This Row],[Quantity_Sold]]</f>
        <v>6138.44</v>
      </c>
      <c r="P969" s="12">
        <f>Tabla1[[#This Row],[Profit]] / Tabla1[[#This Row],[Sales_Calculated]]</f>
        <v>9.0999223789862305E-2</v>
      </c>
      <c r="Q969" s="20">
        <f xml:space="preserve"> Tabla1[[#This Row],[Unit_Price]] * Tabla1[[#This Row],[Quantity_Sold]]</f>
        <v>67455.959999999992</v>
      </c>
    </row>
    <row r="970" spans="1:17" x14ac:dyDescent="0.3">
      <c r="A970" s="2">
        <v>1026</v>
      </c>
      <c r="B970" s="1">
        <v>44963</v>
      </c>
      <c r="C970" s="8" t="s">
        <v>14</v>
      </c>
      <c r="D970" s="8" t="s">
        <v>21</v>
      </c>
      <c r="E970" s="6">
        <v>961.47</v>
      </c>
      <c r="F970" s="2">
        <v>34</v>
      </c>
      <c r="G970" s="8" t="s">
        <v>35</v>
      </c>
      <c r="H970" s="6">
        <v>68.33</v>
      </c>
      <c r="I970" s="6">
        <v>219.07999999999899</v>
      </c>
      <c r="J970" s="8" t="s">
        <v>30</v>
      </c>
      <c r="K970" s="12">
        <v>0.02</v>
      </c>
      <c r="L970" s="8" t="s">
        <v>31</v>
      </c>
      <c r="M970" s="8" t="s">
        <v>19</v>
      </c>
      <c r="N970" s="10" t="s">
        <v>23</v>
      </c>
      <c r="O970" s="17">
        <f xml:space="preserve"> (Tabla1[[#This Row],[Unit_Price]] - Tabla1[[#This Row],[Unit_Cost]] ) * Tabla1[[#This Row],[Quantity_Sold]]</f>
        <v>5125.4999999999654</v>
      </c>
      <c r="P970" s="12">
        <f>Tabla1[[#This Row],[Profit]] / Tabla1[[#This Row],[Sales_Calculated]]</f>
        <v>0.68810480189884826</v>
      </c>
      <c r="Q970" s="20">
        <f xml:space="preserve"> Tabla1[[#This Row],[Unit_Price]] * Tabla1[[#This Row],[Quantity_Sold]]</f>
        <v>7448.7199999999657</v>
      </c>
    </row>
    <row r="971" spans="1:17" x14ac:dyDescent="0.3">
      <c r="A971" s="2">
        <v>1014</v>
      </c>
      <c r="B971" s="1">
        <v>45278</v>
      </c>
      <c r="C971" s="8" t="s">
        <v>24</v>
      </c>
      <c r="D971" s="8" t="s">
        <v>34</v>
      </c>
      <c r="E971" s="6">
        <v>5612.17</v>
      </c>
      <c r="F971" s="2">
        <v>4</v>
      </c>
      <c r="G971" s="8" t="s">
        <v>16</v>
      </c>
      <c r="H971" s="6">
        <v>854.68</v>
      </c>
      <c r="I971" s="6">
        <v>1115.24</v>
      </c>
      <c r="J971" s="8" t="s">
        <v>30</v>
      </c>
      <c r="K971" s="12">
        <v>0.24</v>
      </c>
      <c r="L971" s="8" t="s">
        <v>31</v>
      </c>
      <c r="M971" s="8" t="s">
        <v>22</v>
      </c>
      <c r="N971" s="10" t="s">
        <v>50</v>
      </c>
      <c r="O971" s="17">
        <f xml:space="preserve"> (Tabla1[[#This Row],[Unit_Price]] - Tabla1[[#This Row],[Unit_Cost]] ) * Tabla1[[#This Row],[Quantity_Sold]]</f>
        <v>1042.2400000000002</v>
      </c>
      <c r="P971" s="12">
        <f>Tabla1[[#This Row],[Profit]] / Tabla1[[#This Row],[Sales_Calculated]]</f>
        <v>0.2336358093325204</v>
      </c>
      <c r="Q971" s="20">
        <f xml:space="preserve"> Tabla1[[#This Row],[Unit_Price]] * Tabla1[[#This Row],[Quantity_Sold]]</f>
        <v>4460.96</v>
      </c>
    </row>
    <row r="972" spans="1:17" x14ac:dyDescent="0.3">
      <c r="A972" s="2">
        <v>1059</v>
      </c>
      <c r="B972" s="1">
        <v>45238</v>
      </c>
      <c r="C972" s="8" t="s">
        <v>24</v>
      </c>
      <c r="D972" s="8" t="s">
        <v>25</v>
      </c>
      <c r="E972" s="6">
        <v>8466.7000000000007</v>
      </c>
      <c r="F972" s="2">
        <v>17</v>
      </c>
      <c r="G972" s="8" t="s">
        <v>29</v>
      </c>
      <c r="H972" s="6">
        <v>1780.14</v>
      </c>
      <c r="I972" s="6">
        <v>2185.42</v>
      </c>
      <c r="J972" s="8" t="s">
        <v>17</v>
      </c>
      <c r="K972" s="12">
        <v>0.15</v>
      </c>
      <c r="L972" s="8" t="s">
        <v>31</v>
      </c>
      <c r="M972" s="8" t="s">
        <v>22</v>
      </c>
      <c r="N972" s="10" t="s">
        <v>28</v>
      </c>
      <c r="O972" s="17">
        <f xml:space="preserve"> (Tabla1[[#This Row],[Unit_Price]] - Tabla1[[#This Row],[Unit_Cost]] ) * Tabla1[[#This Row],[Quantity_Sold]]</f>
        <v>6889.7599999999993</v>
      </c>
      <c r="P972" s="12">
        <f>Tabla1[[#This Row],[Profit]] / Tabla1[[#This Row],[Sales_Calculated]]</f>
        <v>0.18544719092897474</v>
      </c>
      <c r="Q972" s="20">
        <f xml:space="preserve"> Tabla1[[#This Row],[Unit_Price]] * Tabla1[[#This Row],[Quantity_Sold]]</f>
        <v>37152.14</v>
      </c>
    </row>
    <row r="973" spans="1:17" x14ac:dyDescent="0.3">
      <c r="A973" s="2">
        <v>1056</v>
      </c>
      <c r="B973" s="1">
        <v>45287</v>
      </c>
      <c r="C973" s="8" t="s">
        <v>14</v>
      </c>
      <c r="D973" s="8" t="s">
        <v>34</v>
      </c>
      <c r="E973" s="6">
        <v>7979.67</v>
      </c>
      <c r="F973" s="2">
        <v>4</v>
      </c>
      <c r="G973" s="8" t="s">
        <v>26</v>
      </c>
      <c r="H973" s="6">
        <v>1612.82</v>
      </c>
      <c r="I973" s="6">
        <v>1647.25</v>
      </c>
      <c r="J973" s="8" t="s">
        <v>17</v>
      </c>
      <c r="K973" s="12">
        <v>0.04</v>
      </c>
      <c r="L973" s="8" t="s">
        <v>31</v>
      </c>
      <c r="M973" s="8" t="s">
        <v>22</v>
      </c>
      <c r="N973" s="10" t="s">
        <v>46</v>
      </c>
      <c r="O973" s="17">
        <f xml:space="preserve"> (Tabla1[[#This Row],[Unit_Price]] - Tabla1[[#This Row],[Unit_Cost]] ) * Tabla1[[#This Row],[Quantity_Sold]]</f>
        <v>137.72000000000025</v>
      </c>
      <c r="P973" s="12">
        <f>Tabla1[[#This Row],[Profit]] / Tabla1[[#This Row],[Sales_Calculated]]</f>
        <v>2.090150250417366E-2</v>
      </c>
      <c r="Q973" s="20">
        <f xml:space="preserve"> Tabla1[[#This Row],[Unit_Price]] * Tabla1[[#This Row],[Quantity_Sold]]</f>
        <v>6589</v>
      </c>
    </row>
    <row r="974" spans="1:17" x14ac:dyDescent="0.3">
      <c r="A974" s="2">
        <v>1007</v>
      </c>
      <c r="B974" s="1">
        <v>44985</v>
      </c>
      <c r="C974" s="8" t="s">
        <v>33</v>
      </c>
      <c r="D974" s="8" t="s">
        <v>34</v>
      </c>
      <c r="E974" s="6">
        <v>1833.72</v>
      </c>
      <c r="F974" s="2">
        <v>43</v>
      </c>
      <c r="G974" s="8" t="s">
        <v>16</v>
      </c>
      <c r="H974" s="6">
        <v>3967.25</v>
      </c>
      <c r="I974" s="6">
        <v>4272.92</v>
      </c>
      <c r="J974" s="8" t="s">
        <v>30</v>
      </c>
      <c r="K974" s="12">
        <v>0.27</v>
      </c>
      <c r="L974" s="8" t="s">
        <v>31</v>
      </c>
      <c r="M974" s="8" t="s">
        <v>19</v>
      </c>
      <c r="N974" s="10" t="s">
        <v>36</v>
      </c>
      <c r="O974" s="17">
        <f xml:space="preserve"> (Tabla1[[#This Row],[Unit_Price]] - Tabla1[[#This Row],[Unit_Cost]] ) * Tabla1[[#This Row],[Quantity_Sold]]</f>
        <v>13143.810000000003</v>
      </c>
      <c r="P974" s="12">
        <f>Tabla1[[#This Row],[Profit]] / Tabla1[[#This Row],[Sales_Calculated]]</f>
        <v>7.1536560478548644E-2</v>
      </c>
      <c r="Q974" s="20">
        <f xml:space="preserve"> Tabla1[[#This Row],[Unit_Price]] * Tabla1[[#This Row],[Quantity_Sold]]</f>
        <v>183735.56</v>
      </c>
    </row>
    <row r="975" spans="1:17" x14ac:dyDescent="0.3">
      <c r="A975" s="2">
        <v>1003</v>
      </c>
      <c r="B975" s="1">
        <v>45057</v>
      </c>
      <c r="C975" s="8" t="s">
        <v>33</v>
      </c>
      <c r="D975" s="8" t="s">
        <v>15</v>
      </c>
      <c r="E975" s="6">
        <v>6760.37</v>
      </c>
      <c r="F975" s="2">
        <v>26</v>
      </c>
      <c r="G975" s="8" t="s">
        <v>35</v>
      </c>
      <c r="H975" s="6">
        <v>3418.78</v>
      </c>
      <c r="I975" s="6">
        <v>3824.1</v>
      </c>
      <c r="J975" s="8" t="s">
        <v>30</v>
      </c>
      <c r="K975" s="12">
        <v>0.19</v>
      </c>
      <c r="L975" s="8" t="s">
        <v>31</v>
      </c>
      <c r="M975" s="8" t="s">
        <v>19</v>
      </c>
      <c r="N975" s="10" t="s">
        <v>53</v>
      </c>
      <c r="O975" s="17">
        <f xml:space="preserve"> (Tabla1[[#This Row],[Unit_Price]] - Tabla1[[#This Row],[Unit_Cost]] ) * Tabla1[[#This Row],[Quantity_Sold]]</f>
        <v>10538.319999999992</v>
      </c>
      <c r="P975" s="12">
        <f>Tabla1[[#This Row],[Profit]] / Tabla1[[#This Row],[Sales_Calculated]]</f>
        <v>0.10599095211945288</v>
      </c>
      <c r="Q975" s="20">
        <f xml:space="preserve"> Tabla1[[#This Row],[Unit_Price]] * Tabla1[[#This Row],[Quantity_Sold]]</f>
        <v>99426.599999999991</v>
      </c>
    </row>
    <row r="976" spans="1:17" x14ac:dyDescent="0.3">
      <c r="A976" s="2">
        <v>1023</v>
      </c>
      <c r="B976" s="1">
        <v>45128</v>
      </c>
      <c r="C976" s="8" t="s">
        <v>38</v>
      </c>
      <c r="D976" s="8" t="s">
        <v>15</v>
      </c>
      <c r="E976" s="6">
        <v>2282.9899999999998</v>
      </c>
      <c r="F976" s="2">
        <v>4</v>
      </c>
      <c r="G976" s="8" t="s">
        <v>29</v>
      </c>
      <c r="H976" s="6">
        <v>1532.8</v>
      </c>
      <c r="I976" s="6">
        <v>1619.69</v>
      </c>
      <c r="J976" s="8" t="s">
        <v>17</v>
      </c>
      <c r="K976" s="12">
        <v>0.05</v>
      </c>
      <c r="L976" s="8" t="s">
        <v>27</v>
      </c>
      <c r="M976" s="8" t="s">
        <v>22</v>
      </c>
      <c r="N976" s="10" t="s">
        <v>40</v>
      </c>
      <c r="O976" s="17">
        <f xml:space="preserve"> (Tabla1[[#This Row],[Unit_Price]] - Tabla1[[#This Row],[Unit_Cost]] ) * Tabla1[[#This Row],[Quantity_Sold]]</f>
        <v>347.5600000000004</v>
      </c>
      <c r="P976" s="12">
        <f>Tabla1[[#This Row],[Profit]] / Tabla1[[#This Row],[Sales_Calculated]]</f>
        <v>5.3646068074755103E-2</v>
      </c>
      <c r="Q976" s="20">
        <f xml:space="preserve"> Tabla1[[#This Row],[Unit_Price]] * Tabla1[[#This Row],[Quantity_Sold]]</f>
        <v>6478.76</v>
      </c>
    </row>
    <row r="977" spans="1:17" x14ac:dyDescent="0.3">
      <c r="A977" s="2">
        <v>1018</v>
      </c>
      <c r="B977" s="1">
        <v>45169</v>
      </c>
      <c r="C977" s="8" t="s">
        <v>42</v>
      </c>
      <c r="D977" s="8" t="s">
        <v>34</v>
      </c>
      <c r="E977" s="6">
        <v>2260.25</v>
      </c>
      <c r="F977" s="2">
        <v>1</v>
      </c>
      <c r="G977" s="8" t="s">
        <v>35</v>
      </c>
      <c r="H977" s="6">
        <v>2315.83</v>
      </c>
      <c r="I977" s="6">
        <v>2333.19</v>
      </c>
      <c r="J977" s="8" t="s">
        <v>30</v>
      </c>
      <c r="K977" s="12">
        <v>0.01</v>
      </c>
      <c r="L977" s="8" t="s">
        <v>18</v>
      </c>
      <c r="M977" s="8" t="s">
        <v>22</v>
      </c>
      <c r="N977" s="10" t="s">
        <v>52</v>
      </c>
      <c r="O977" s="17">
        <f xml:space="preserve"> (Tabla1[[#This Row],[Unit_Price]] - Tabla1[[#This Row],[Unit_Cost]] ) * Tabla1[[#This Row],[Quantity_Sold]]</f>
        <v>17.360000000000127</v>
      </c>
      <c r="P977" s="12">
        <f>Tabla1[[#This Row],[Profit]] / Tabla1[[#This Row],[Sales_Calculated]]</f>
        <v>7.4404570566478203E-3</v>
      </c>
      <c r="Q977" s="20">
        <f xml:space="preserve"> Tabla1[[#This Row],[Unit_Price]] * Tabla1[[#This Row],[Quantity_Sold]]</f>
        <v>2333.19</v>
      </c>
    </row>
    <row r="978" spans="1:17" x14ac:dyDescent="0.3">
      <c r="A978" s="2">
        <v>1038</v>
      </c>
      <c r="B978" s="1">
        <v>44961</v>
      </c>
      <c r="C978" s="8" t="s">
        <v>33</v>
      </c>
      <c r="D978" s="8" t="s">
        <v>15</v>
      </c>
      <c r="E978" s="6">
        <v>8753.31</v>
      </c>
      <c r="F978" s="2">
        <v>7</v>
      </c>
      <c r="G978" s="8" t="s">
        <v>16</v>
      </c>
      <c r="H978" s="6">
        <v>523.02</v>
      </c>
      <c r="I978" s="6">
        <v>686.25</v>
      </c>
      <c r="J978" s="8" t="s">
        <v>17</v>
      </c>
      <c r="K978" s="12">
        <v>0.04</v>
      </c>
      <c r="L978" s="8" t="s">
        <v>18</v>
      </c>
      <c r="M978" s="8" t="s">
        <v>19</v>
      </c>
      <c r="N978" s="10" t="s">
        <v>53</v>
      </c>
      <c r="O978" s="17">
        <f xml:space="preserve"> (Tabla1[[#This Row],[Unit_Price]] - Tabla1[[#This Row],[Unit_Cost]] ) * Tabla1[[#This Row],[Quantity_Sold]]</f>
        <v>1142.6100000000001</v>
      </c>
      <c r="P978" s="12">
        <f>Tabla1[[#This Row],[Profit]] / Tabla1[[#This Row],[Sales_Calculated]]</f>
        <v>0.23785792349726778</v>
      </c>
      <c r="Q978" s="20">
        <f xml:space="preserve"> Tabla1[[#This Row],[Unit_Price]] * Tabla1[[#This Row],[Quantity_Sold]]</f>
        <v>4803.75</v>
      </c>
    </row>
    <row r="979" spans="1:17" x14ac:dyDescent="0.3">
      <c r="A979" s="2">
        <v>1099</v>
      </c>
      <c r="B979" s="1">
        <v>45019</v>
      </c>
      <c r="C979" s="8" t="s">
        <v>42</v>
      </c>
      <c r="D979" s="8" t="s">
        <v>15</v>
      </c>
      <c r="E979" s="6">
        <v>2571.7199999999998</v>
      </c>
      <c r="F979" s="2">
        <v>30</v>
      </c>
      <c r="G979" s="8" t="s">
        <v>16</v>
      </c>
      <c r="H979" s="6">
        <v>4495.82</v>
      </c>
      <c r="I979" s="6">
        <v>4794.0099999999902</v>
      </c>
      <c r="J979" s="8" t="s">
        <v>30</v>
      </c>
      <c r="K979" s="12">
        <v>0.18</v>
      </c>
      <c r="L979" s="8" t="s">
        <v>27</v>
      </c>
      <c r="M979" s="8" t="s">
        <v>22</v>
      </c>
      <c r="N979" s="10" t="s">
        <v>49</v>
      </c>
      <c r="O979" s="17">
        <f xml:space="preserve"> (Tabla1[[#This Row],[Unit_Price]] - Tabla1[[#This Row],[Unit_Cost]] ) * Tabla1[[#This Row],[Quantity_Sold]]</f>
        <v>8945.6999999997151</v>
      </c>
      <c r="P979" s="12">
        <f>Tabla1[[#This Row],[Profit]] / Tabla1[[#This Row],[Sales_Calculated]]</f>
        <v>6.2200537754404171E-2</v>
      </c>
      <c r="Q979" s="20">
        <f xml:space="preserve"> Tabla1[[#This Row],[Unit_Price]] * Tabla1[[#This Row],[Quantity_Sold]]</f>
        <v>143820.2999999997</v>
      </c>
    </row>
    <row r="980" spans="1:17" x14ac:dyDescent="0.3">
      <c r="A980" s="2">
        <v>1015</v>
      </c>
      <c r="B980" s="1">
        <v>45133</v>
      </c>
      <c r="C980" s="8" t="s">
        <v>24</v>
      </c>
      <c r="D980" s="8" t="s">
        <v>15</v>
      </c>
      <c r="E980" s="6">
        <v>2706.15</v>
      </c>
      <c r="F980" s="2">
        <v>9</v>
      </c>
      <c r="G980" s="8" t="s">
        <v>35</v>
      </c>
      <c r="H980" s="6">
        <v>4680.3500000000004</v>
      </c>
      <c r="I980" s="6">
        <v>4758.1099999999997</v>
      </c>
      <c r="J980" s="8" t="s">
        <v>17</v>
      </c>
      <c r="K980" s="12">
        <v>0.05</v>
      </c>
      <c r="L980" s="8" t="s">
        <v>27</v>
      </c>
      <c r="M980" s="8" t="s">
        <v>19</v>
      </c>
      <c r="N980" s="10" t="s">
        <v>45</v>
      </c>
      <c r="O980" s="17">
        <f xml:space="preserve"> (Tabla1[[#This Row],[Unit_Price]] - Tabla1[[#This Row],[Unit_Cost]] ) * Tabla1[[#This Row],[Quantity_Sold]]</f>
        <v>699.83999999999378</v>
      </c>
      <c r="P980" s="12">
        <f>Tabla1[[#This Row],[Profit]] / Tabla1[[#This Row],[Sales_Calculated]]</f>
        <v>1.6342623436616497E-2</v>
      </c>
      <c r="Q980" s="20">
        <f xml:space="preserve"> Tabla1[[#This Row],[Unit_Price]] * Tabla1[[#This Row],[Quantity_Sold]]</f>
        <v>42822.99</v>
      </c>
    </row>
    <row r="981" spans="1:17" x14ac:dyDescent="0.3">
      <c r="A981" s="2">
        <v>1064</v>
      </c>
      <c r="B981" s="1">
        <v>45279</v>
      </c>
      <c r="C981" s="8" t="s">
        <v>42</v>
      </c>
      <c r="D981" s="8" t="s">
        <v>21</v>
      </c>
      <c r="E981" s="6">
        <v>106.47</v>
      </c>
      <c r="F981" s="2">
        <v>35</v>
      </c>
      <c r="G981" s="8" t="s">
        <v>29</v>
      </c>
      <c r="H981" s="6">
        <v>4900.03</v>
      </c>
      <c r="I981" s="6">
        <v>5118.83</v>
      </c>
      <c r="J981" s="8" t="s">
        <v>17</v>
      </c>
      <c r="K981" s="12">
        <v>7.0000000000000007E-2</v>
      </c>
      <c r="L981" s="8" t="s">
        <v>31</v>
      </c>
      <c r="M981" s="8" t="s">
        <v>22</v>
      </c>
      <c r="N981" s="10" t="s">
        <v>51</v>
      </c>
      <c r="O981" s="17">
        <f xml:space="preserve"> (Tabla1[[#This Row],[Unit_Price]] - Tabla1[[#This Row],[Unit_Cost]] ) * Tabla1[[#This Row],[Quantity_Sold]]</f>
        <v>7658.0000000000064</v>
      </c>
      <c r="P981" s="12">
        <f>Tabla1[[#This Row],[Profit]] / Tabla1[[#This Row],[Sales_Calculated]]</f>
        <v>4.274414270448524E-2</v>
      </c>
      <c r="Q981" s="20">
        <f xml:space="preserve"> Tabla1[[#This Row],[Unit_Price]] * Tabla1[[#This Row],[Quantity_Sold]]</f>
        <v>179159.05</v>
      </c>
    </row>
    <row r="982" spans="1:17" x14ac:dyDescent="0.3">
      <c r="A982" s="2">
        <v>1089</v>
      </c>
      <c r="B982" s="1">
        <v>45258</v>
      </c>
      <c r="C982" s="8" t="s">
        <v>24</v>
      </c>
      <c r="D982" s="8" t="s">
        <v>21</v>
      </c>
      <c r="E982" s="6">
        <v>8719.6200000000008</v>
      </c>
      <c r="F982" s="2">
        <v>8</v>
      </c>
      <c r="G982" s="8" t="s">
        <v>16</v>
      </c>
      <c r="H982" s="6">
        <v>4349.34</v>
      </c>
      <c r="I982" s="6">
        <v>4629.9799999999996</v>
      </c>
      <c r="J982" s="8" t="s">
        <v>17</v>
      </c>
      <c r="K982" s="12">
        <v>0.01</v>
      </c>
      <c r="L982" s="8" t="s">
        <v>31</v>
      </c>
      <c r="M982" s="8" t="s">
        <v>19</v>
      </c>
      <c r="N982" s="10" t="s">
        <v>47</v>
      </c>
      <c r="O982" s="17">
        <f xml:space="preserve"> (Tabla1[[#This Row],[Unit_Price]] - Tabla1[[#This Row],[Unit_Cost]] ) * Tabla1[[#This Row],[Quantity_Sold]]</f>
        <v>2245.1199999999953</v>
      </c>
      <c r="P982" s="12">
        <f>Tabla1[[#This Row],[Profit]] / Tabla1[[#This Row],[Sales_Calculated]]</f>
        <v>6.0613652758759094E-2</v>
      </c>
      <c r="Q982" s="20">
        <f xml:space="preserve"> Tabla1[[#This Row],[Unit_Price]] * Tabla1[[#This Row],[Quantity_Sold]]</f>
        <v>37039.839999999997</v>
      </c>
    </row>
    <row r="983" spans="1:17" x14ac:dyDescent="0.3">
      <c r="A983" s="2">
        <v>1028</v>
      </c>
      <c r="B983" s="1">
        <v>45231</v>
      </c>
      <c r="C983" s="8" t="s">
        <v>14</v>
      </c>
      <c r="D983" s="8" t="s">
        <v>34</v>
      </c>
      <c r="E983" s="6">
        <v>7946.69</v>
      </c>
      <c r="F983" s="2">
        <v>24</v>
      </c>
      <c r="G983" s="8" t="s">
        <v>26</v>
      </c>
      <c r="H983" s="6">
        <v>911.11</v>
      </c>
      <c r="I983" s="6">
        <v>1214.56</v>
      </c>
      <c r="J983" s="8" t="s">
        <v>30</v>
      </c>
      <c r="K983" s="12">
        <v>0.22</v>
      </c>
      <c r="L983" s="8" t="s">
        <v>27</v>
      </c>
      <c r="M983" s="8" t="s">
        <v>19</v>
      </c>
      <c r="N983" s="10" t="s">
        <v>46</v>
      </c>
      <c r="O983" s="17">
        <f xml:space="preserve"> (Tabla1[[#This Row],[Unit_Price]] - Tabla1[[#This Row],[Unit_Cost]] ) * Tabla1[[#This Row],[Quantity_Sold]]</f>
        <v>7282.7999999999984</v>
      </c>
      <c r="P983" s="12">
        <f>Tabla1[[#This Row],[Profit]] / Tabla1[[#This Row],[Sales_Calculated]]</f>
        <v>0.24984356474772754</v>
      </c>
      <c r="Q983" s="20">
        <f xml:space="preserve"> Tabla1[[#This Row],[Unit_Price]] * Tabla1[[#This Row],[Quantity_Sold]]</f>
        <v>29149.439999999999</v>
      </c>
    </row>
    <row r="984" spans="1:17" x14ac:dyDescent="0.3">
      <c r="A984" s="2">
        <v>1074</v>
      </c>
      <c r="B984" s="1">
        <v>45276</v>
      </c>
      <c r="C984" s="8" t="s">
        <v>14</v>
      </c>
      <c r="D984" s="8" t="s">
        <v>15</v>
      </c>
      <c r="E984" s="6">
        <v>6310.56</v>
      </c>
      <c r="F984" s="2">
        <v>19</v>
      </c>
      <c r="G984" s="8" t="s">
        <v>16</v>
      </c>
      <c r="H984" s="6">
        <v>278.67</v>
      </c>
      <c r="I984" s="6">
        <v>423.13</v>
      </c>
      <c r="J984" s="8" t="s">
        <v>30</v>
      </c>
      <c r="K984" s="12">
        <v>0.24</v>
      </c>
      <c r="L984" s="8" t="s">
        <v>31</v>
      </c>
      <c r="M984" s="8" t="s">
        <v>19</v>
      </c>
      <c r="N984" s="10" t="s">
        <v>20</v>
      </c>
      <c r="O984" s="17">
        <f xml:space="preserve"> (Tabla1[[#This Row],[Unit_Price]] - Tabla1[[#This Row],[Unit_Cost]] ) * Tabla1[[#This Row],[Quantity_Sold]]</f>
        <v>2744.74</v>
      </c>
      <c r="P984" s="12">
        <f>Tabla1[[#This Row],[Profit]] / Tabla1[[#This Row],[Sales_Calculated]]</f>
        <v>0.34140807789568212</v>
      </c>
      <c r="Q984" s="20">
        <f xml:space="preserve"> Tabla1[[#This Row],[Unit_Price]] * Tabla1[[#This Row],[Quantity_Sold]]</f>
        <v>8039.47</v>
      </c>
    </row>
    <row r="985" spans="1:17" x14ac:dyDescent="0.3">
      <c r="A985" s="2">
        <v>1039</v>
      </c>
      <c r="B985" s="1">
        <v>45139</v>
      </c>
      <c r="C985" s="8" t="s">
        <v>38</v>
      </c>
      <c r="D985" s="8" t="s">
        <v>21</v>
      </c>
      <c r="E985" s="6">
        <v>7527.63</v>
      </c>
      <c r="F985" s="2">
        <v>36</v>
      </c>
      <c r="G985" s="8" t="s">
        <v>29</v>
      </c>
      <c r="H985" s="6">
        <v>2919</v>
      </c>
      <c r="I985" s="6">
        <v>3125.01</v>
      </c>
      <c r="J985" s="8" t="s">
        <v>30</v>
      </c>
      <c r="K985" s="12">
        <v>0.24</v>
      </c>
      <c r="L985" s="8" t="s">
        <v>18</v>
      </c>
      <c r="M985" s="8" t="s">
        <v>19</v>
      </c>
      <c r="N985" s="10" t="s">
        <v>41</v>
      </c>
      <c r="O985" s="17">
        <f xml:space="preserve"> (Tabla1[[#This Row],[Unit_Price]] - Tabla1[[#This Row],[Unit_Cost]] ) * Tabla1[[#This Row],[Quantity_Sold]]</f>
        <v>7416.3600000000079</v>
      </c>
      <c r="P985" s="12">
        <f>Tabla1[[#This Row],[Profit]] / Tabla1[[#This Row],[Sales_Calculated]]</f>
        <v>6.5922989046435107E-2</v>
      </c>
      <c r="Q985" s="20">
        <f xml:space="preserve"> Tabla1[[#This Row],[Unit_Price]] * Tabla1[[#This Row],[Quantity_Sold]]</f>
        <v>112500.36000000002</v>
      </c>
    </row>
    <row r="986" spans="1:17" x14ac:dyDescent="0.3">
      <c r="A986" s="2">
        <v>1057</v>
      </c>
      <c r="B986" s="1">
        <v>45085</v>
      </c>
      <c r="C986" s="8" t="s">
        <v>33</v>
      </c>
      <c r="D986" s="8" t="s">
        <v>34</v>
      </c>
      <c r="E986" s="6">
        <v>1605.28</v>
      </c>
      <c r="F986" s="2">
        <v>43</v>
      </c>
      <c r="G986" s="8" t="s">
        <v>16</v>
      </c>
      <c r="H986" s="6">
        <v>4567.3900000000003</v>
      </c>
      <c r="I986" s="6">
        <v>4958.78</v>
      </c>
      <c r="J986" s="8" t="s">
        <v>30</v>
      </c>
      <c r="K986" s="12">
        <v>0.04</v>
      </c>
      <c r="L986" s="8" t="s">
        <v>18</v>
      </c>
      <c r="M986" s="8" t="s">
        <v>22</v>
      </c>
      <c r="N986" s="10" t="s">
        <v>36</v>
      </c>
      <c r="O986" s="17">
        <f xml:space="preserve"> (Tabla1[[#This Row],[Unit_Price]] - Tabla1[[#This Row],[Unit_Cost]] ) * Tabla1[[#This Row],[Quantity_Sold]]</f>
        <v>16829.769999999975</v>
      </c>
      <c r="P986" s="12">
        <f>Tabla1[[#This Row],[Profit]] / Tabla1[[#This Row],[Sales_Calculated]]</f>
        <v>7.8928688104735328E-2</v>
      </c>
      <c r="Q986" s="20">
        <f xml:space="preserve"> Tabla1[[#This Row],[Unit_Price]] * Tabla1[[#This Row],[Quantity_Sold]]</f>
        <v>213227.53999999998</v>
      </c>
    </row>
    <row r="987" spans="1:17" x14ac:dyDescent="0.3">
      <c r="A987" s="2">
        <v>1017</v>
      </c>
      <c r="B987" s="1">
        <v>44950</v>
      </c>
      <c r="C987" s="8" t="s">
        <v>38</v>
      </c>
      <c r="D987" s="8" t="s">
        <v>15</v>
      </c>
      <c r="E987" s="6">
        <v>4637.3999999999996</v>
      </c>
      <c r="F987" s="2">
        <v>27</v>
      </c>
      <c r="G987" s="8" t="s">
        <v>35</v>
      </c>
      <c r="H987" s="6">
        <v>927.89</v>
      </c>
      <c r="I987" s="6">
        <v>1399.09</v>
      </c>
      <c r="J987" s="8" t="s">
        <v>17</v>
      </c>
      <c r="K987" s="12">
        <v>0.27</v>
      </c>
      <c r="L987" s="8" t="s">
        <v>31</v>
      </c>
      <c r="M987" s="8" t="s">
        <v>19</v>
      </c>
      <c r="N987" s="10" t="s">
        <v>40</v>
      </c>
      <c r="O987" s="17">
        <f xml:space="preserve"> (Tabla1[[#This Row],[Unit_Price]] - Tabla1[[#This Row],[Unit_Cost]] ) * Tabla1[[#This Row],[Quantity_Sold]]</f>
        <v>12722.399999999998</v>
      </c>
      <c r="P987" s="12">
        <f>Tabla1[[#This Row],[Profit]] / Tabla1[[#This Row],[Sales_Calculated]]</f>
        <v>0.33679034229391958</v>
      </c>
      <c r="Q987" s="20">
        <f xml:space="preserve"> Tabla1[[#This Row],[Unit_Price]] * Tabla1[[#This Row],[Quantity_Sold]]</f>
        <v>37775.43</v>
      </c>
    </row>
    <row r="988" spans="1:17" x14ac:dyDescent="0.3">
      <c r="A988" s="2">
        <v>1086</v>
      </c>
      <c r="B988" s="1">
        <v>45219</v>
      </c>
      <c r="C988" s="8" t="s">
        <v>24</v>
      </c>
      <c r="D988" s="8" t="s">
        <v>25</v>
      </c>
      <c r="E988" s="6">
        <v>3577.07</v>
      </c>
      <c r="F988" s="2">
        <v>32</v>
      </c>
      <c r="G988" s="8" t="s">
        <v>16</v>
      </c>
      <c r="H988" s="6">
        <v>84.86</v>
      </c>
      <c r="I988" s="6">
        <v>517.17999999999995</v>
      </c>
      <c r="J988" s="8" t="s">
        <v>17</v>
      </c>
      <c r="K988" s="12">
        <v>0.2</v>
      </c>
      <c r="L988" s="8" t="s">
        <v>31</v>
      </c>
      <c r="M988" s="8" t="s">
        <v>22</v>
      </c>
      <c r="N988" s="10" t="s">
        <v>28</v>
      </c>
      <c r="O988" s="17">
        <f xml:space="preserve"> (Tabla1[[#This Row],[Unit_Price]] - Tabla1[[#This Row],[Unit_Cost]] ) * Tabla1[[#This Row],[Quantity_Sold]]</f>
        <v>13834.239999999998</v>
      </c>
      <c r="P988" s="12">
        <f>Tabla1[[#This Row],[Profit]] / Tabla1[[#This Row],[Sales_Calculated]]</f>
        <v>0.83591786225298736</v>
      </c>
      <c r="Q988" s="20">
        <f xml:space="preserve"> Tabla1[[#This Row],[Unit_Price]] * Tabla1[[#This Row],[Quantity_Sold]]</f>
        <v>16549.759999999998</v>
      </c>
    </row>
    <row r="989" spans="1:17" x14ac:dyDescent="0.3">
      <c r="A989" s="2">
        <v>1090</v>
      </c>
      <c r="B989" s="1">
        <v>44930</v>
      </c>
      <c r="C989" s="8" t="s">
        <v>38</v>
      </c>
      <c r="D989" s="8" t="s">
        <v>15</v>
      </c>
      <c r="E989" s="6">
        <v>1028.3900000000001</v>
      </c>
      <c r="F989" s="2">
        <v>14</v>
      </c>
      <c r="G989" s="8" t="s">
        <v>16</v>
      </c>
      <c r="H989" s="6">
        <v>4037.21</v>
      </c>
      <c r="I989" s="6">
        <v>4323.71</v>
      </c>
      <c r="J989" s="8" t="s">
        <v>17</v>
      </c>
      <c r="K989" s="12">
        <v>0.27</v>
      </c>
      <c r="L989" s="8" t="s">
        <v>31</v>
      </c>
      <c r="M989" s="8" t="s">
        <v>19</v>
      </c>
      <c r="N989" s="10" t="s">
        <v>40</v>
      </c>
      <c r="O989" s="17">
        <f xml:space="preserve"> (Tabla1[[#This Row],[Unit_Price]] - Tabla1[[#This Row],[Unit_Cost]] ) * Tabla1[[#This Row],[Quantity_Sold]]</f>
        <v>4011</v>
      </c>
      <c r="P989" s="12">
        <f>Tabla1[[#This Row],[Profit]] / Tabla1[[#This Row],[Sales_Calculated]]</f>
        <v>6.6262538421864553E-2</v>
      </c>
      <c r="Q989" s="20">
        <f xml:space="preserve"> Tabla1[[#This Row],[Unit_Price]] * Tabla1[[#This Row],[Quantity_Sold]]</f>
        <v>60531.94</v>
      </c>
    </row>
    <row r="990" spans="1:17" x14ac:dyDescent="0.3">
      <c r="A990" s="2">
        <v>1044</v>
      </c>
      <c r="B990" s="1">
        <v>45146</v>
      </c>
      <c r="C990" s="8" t="s">
        <v>42</v>
      </c>
      <c r="D990" s="8" t="s">
        <v>15</v>
      </c>
      <c r="E990" s="6">
        <v>4912.6899999999996</v>
      </c>
      <c r="F990" s="2">
        <v>18</v>
      </c>
      <c r="G990" s="8" t="s">
        <v>29</v>
      </c>
      <c r="H990" s="6">
        <v>430.14</v>
      </c>
      <c r="I990" s="6">
        <v>641.17999999999995</v>
      </c>
      <c r="J990" s="8" t="s">
        <v>30</v>
      </c>
      <c r="K990" s="12">
        <v>0.13</v>
      </c>
      <c r="L990" s="8" t="s">
        <v>18</v>
      </c>
      <c r="M990" s="8" t="s">
        <v>19</v>
      </c>
      <c r="N990" s="10" t="s">
        <v>49</v>
      </c>
      <c r="O990" s="17">
        <f xml:space="preserve"> (Tabla1[[#This Row],[Unit_Price]] - Tabla1[[#This Row],[Unit_Cost]] ) * Tabla1[[#This Row],[Quantity_Sold]]</f>
        <v>3798.7199999999993</v>
      </c>
      <c r="P990" s="12">
        <f>Tabla1[[#This Row],[Profit]] / Tabla1[[#This Row],[Sales_Calculated]]</f>
        <v>0.32914314233132658</v>
      </c>
      <c r="Q990" s="20">
        <f xml:space="preserve"> Tabla1[[#This Row],[Unit_Price]] * Tabla1[[#This Row],[Quantity_Sold]]</f>
        <v>11541.24</v>
      </c>
    </row>
    <row r="991" spans="1:17" x14ac:dyDescent="0.3">
      <c r="A991" s="2">
        <v>1025</v>
      </c>
      <c r="B991" s="1">
        <v>45290</v>
      </c>
      <c r="C991" s="8" t="s">
        <v>24</v>
      </c>
      <c r="D991" s="8" t="s">
        <v>21</v>
      </c>
      <c r="E991" s="6">
        <v>9215.32</v>
      </c>
      <c r="F991" s="2">
        <v>28</v>
      </c>
      <c r="G991" s="8" t="s">
        <v>35</v>
      </c>
      <c r="H991" s="6">
        <v>2097.84</v>
      </c>
      <c r="I991" s="6">
        <v>2270.9899999999998</v>
      </c>
      <c r="J991" s="8" t="s">
        <v>30</v>
      </c>
      <c r="K991" s="12">
        <v>0.13</v>
      </c>
      <c r="L991" s="8" t="s">
        <v>31</v>
      </c>
      <c r="M991" s="8" t="s">
        <v>22</v>
      </c>
      <c r="N991" s="10" t="s">
        <v>47</v>
      </c>
      <c r="O991" s="17">
        <f xml:space="preserve"> (Tabla1[[#This Row],[Unit_Price]] - Tabla1[[#This Row],[Unit_Cost]] ) * Tabla1[[#This Row],[Quantity_Sold]]</f>
        <v>4848.1999999999898</v>
      </c>
      <c r="P991" s="12">
        <f>Tabla1[[#This Row],[Profit]] / Tabla1[[#This Row],[Sales_Calculated]]</f>
        <v>7.6244281128494462E-2</v>
      </c>
      <c r="Q991" s="20">
        <f xml:space="preserve"> Tabla1[[#This Row],[Unit_Price]] * Tabla1[[#This Row],[Quantity_Sold]]</f>
        <v>63587.719999999994</v>
      </c>
    </row>
    <row r="992" spans="1:17" x14ac:dyDescent="0.3">
      <c r="A992" s="2">
        <v>1017</v>
      </c>
      <c r="B992" s="1">
        <v>44946</v>
      </c>
      <c r="C992" s="8" t="s">
        <v>14</v>
      </c>
      <c r="D992" s="8" t="s">
        <v>34</v>
      </c>
      <c r="E992" s="6">
        <v>496.59</v>
      </c>
      <c r="F992" s="2">
        <v>29</v>
      </c>
      <c r="G992" s="8" t="s">
        <v>29</v>
      </c>
      <c r="H992" s="6">
        <v>3410.49</v>
      </c>
      <c r="I992" s="6">
        <v>3481.72</v>
      </c>
      <c r="J992" s="8" t="s">
        <v>30</v>
      </c>
      <c r="K992" s="12">
        <v>0.24</v>
      </c>
      <c r="L992" s="8" t="s">
        <v>27</v>
      </c>
      <c r="M992" s="8" t="s">
        <v>22</v>
      </c>
      <c r="N992" s="10" t="s">
        <v>46</v>
      </c>
      <c r="O992" s="17">
        <f xml:space="preserve"> (Tabla1[[#This Row],[Unit_Price]] - Tabla1[[#This Row],[Unit_Cost]] ) * Tabla1[[#This Row],[Quantity_Sold]]</f>
        <v>2065.6700000000005</v>
      </c>
      <c r="P992" s="12">
        <f>Tabla1[[#This Row],[Profit]] / Tabla1[[#This Row],[Sales_Calculated]]</f>
        <v>2.0458279241294539E-2</v>
      </c>
      <c r="Q992" s="20">
        <f xml:space="preserve"> Tabla1[[#This Row],[Unit_Price]] * Tabla1[[#This Row],[Quantity_Sold]]</f>
        <v>100969.87999999999</v>
      </c>
    </row>
    <row r="993" spans="1:17" x14ac:dyDescent="0.3">
      <c r="A993" s="2">
        <v>1013</v>
      </c>
      <c r="B993" s="1">
        <v>45078</v>
      </c>
      <c r="C993" s="8" t="s">
        <v>33</v>
      </c>
      <c r="D993" s="8" t="s">
        <v>34</v>
      </c>
      <c r="E993" s="6">
        <v>2985.46</v>
      </c>
      <c r="F993" s="2">
        <v>16</v>
      </c>
      <c r="G993" s="8" t="s">
        <v>16</v>
      </c>
      <c r="H993" s="6">
        <v>1222.1500000000001</v>
      </c>
      <c r="I993" s="6">
        <v>1284.3599999999999</v>
      </c>
      <c r="J993" s="8" t="s">
        <v>17</v>
      </c>
      <c r="K993" s="12">
        <v>0.03</v>
      </c>
      <c r="L993" s="8" t="s">
        <v>31</v>
      </c>
      <c r="M993" s="8" t="s">
        <v>22</v>
      </c>
      <c r="N993" s="10" t="s">
        <v>36</v>
      </c>
      <c r="O993" s="17">
        <f xml:space="preserve"> (Tabla1[[#This Row],[Unit_Price]] - Tabla1[[#This Row],[Unit_Cost]] ) * Tabla1[[#This Row],[Quantity_Sold]]</f>
        <v>995.35999999999694</v>
      </c>
      <c r="P993" s="12">
        <f>Tabla1[[#This Row],[Profit]] / Tabla1[[#This Row],[Sales_Calculated]]</f>
        <v>4.8436575414992536E-2</v>
      </c>
      <c r="Q993" s="20">
        <f xml:space="preserve"> Tabla1[[#This Row],[Unit_Price]] * Tabla1[[#This Row],[Quantity_Sold]]</f>
        <v>20549.759999999998</v>
      </c>
    </row>
    <row r="994" spans="1:17" x14ac:dyDescent="0.3">
      <c r="A994" s="2">
        <v>1084</v>
      </c>
      <c r="B994" s="1">
        <v>44976</v>
      </c>
      <c r="C994" s="8" t="s">
        <v>24</v>
      </c>
      <c r="D994" s="8" t="s">
        <v>21</v>
      </c>
      <c r="E994" s="6">
        <v>2154.66</v>
      </c>
      <c r="F994" s="2">
        <v>35</v>
      </c>
      <c r="G994" s="8" t="s">
        <v>26</v>
      </c>
      <c r="H994" s="6">
        <v>465.61</v>
      </c>
      <c r="I994" s="6">
        <v>812.91</v>
      </c>
      <c r="J994" s="8" t="s">
        <v>30</v>
      </c>
      <c r="K994" s="12">
        <v>0.16</v>
      </c>
      <c r="L994" s="8" t="s">
        <v>27</v>
      </c>
      <c r="M994" s="8" t="s">
        <v>19</v>
      </c>
      <c r="N994" s="10" t="s">
        <v>47</v>
      </c>
      <c r="O994" s="17">
        <f xml:space="preserve"> (Tabla1[[#This Row],[Unit_Price]] - Tabla1[[#This Row],[Unit_Cost]] ) * Tabla1[[#This Row],[Quantity_Sold]]</f>
        <v>12155.499999999998</v>
      </c>
      <c r="P994" s="12">
        <f>Tabla1[[#This Row],[Profit]] / Tabla1[[#This Row],[Sales_Calculated]]</f>
        <v>0.42723056672940418</v>
      </c>
      <c r="Q994" s="20">
        <f xml:space="preserve"> Tabla1[[#This Row],[Unit_Price]] * Tabla1[[#This Row],[Quantity_Sold]]</f>
        <v>28451.85</v>
      </c>
    </row>
    <row r="995" spans="1:17" x14ac:dyDescent="0.3">
      <c r="A995" s="2">
        <v>1025</v>
      </c>
      <c r="B995" s="1">
        <v>45103</v>
      </c>
      <c r="C995" s="8" t="s">
        <v>24</v>
      </c>
      <c r="D995" s="8" t="s">
        <v>15</v>
      </c>
      <c r="E995" s="6">
        <v>2457.65</v>
      </c>
      <c r="F995" s="2">
        <v>47</v>
      </c>
      <c r="G995" s="8" t="s">
        <v>16</v>
      </c>
      <c r="H995" s="6">
        <v>3861.61</v>
      </c>
      <c r="I995" s="6">
        <v>3998.91</v>
      </c>
      <c r="J995" s="8" t="s">
        <v>30</v>
      </c>
      <c r="K995" s="12">
        <v>0.25</v>
      </c>
      <c r="L995" s="8" t="s">
        <v>31</v>
      </c>
      <c r="M995" s="8" t="s">
        <v>19</v>
      </c>
      <c r="N995" s="10" t="s">
        <v>45</v>
      </c>
      <c r="O995" s="17">
        <f xml:space="preserve"> (Tabla1[[#This Row],[Unit_Price]] - Tabla1[[#This Row],[Unit_Cost]] ) * Tabla1[[#This Row],[Quantity_Sold]]</f>
        <v>6453.0999999999876</v>
      </c>
      <c r="P995" s="12">
        <f>Tabla1[[#This Row],[Profit]] / Tabla1[[#This Row],[Sales_Calculated]]</f>
        <v>3.4334356112040471E-2</v>
      </c>
      <c r="Q995" s="20">
        <f xml:space="preserve"> Tabla1[[#This Row],[Unit_Price]] * Tabla1[[#This Row],[Quantity_Sold]]</f>
        <v>187948.77</v>
      </c>
    </row>
    <row r="996" spans="1:17" x14ac:dyDescent="0.3">
      <c r="A996" s="2">
        <v>1068</v>
      </c>
      <c r="B996" s="1">
        <v>45022</v>
      </c>
      <c r="C996" s="8" t="s">
        <v>42</v>
      </c>
      <c r="D996" s="8" t="s">
        <v>25</v>
      </c>
      <c r="E996" s="6">
        <v>9093.5</v>
      </c>
      <c r="F996" s="2">
        <v>31</v>
      </c>
      <c r="G996" s="8" t="s">
        <v>29</v>
      </c>
      <c r="H996" s="6">
        <v>3169.37</v>
      </c>
      <c r="I996" s="6">
        <v>3304.15</v>
      </c>
      <c r="J996" s="8" t="s">
        <v>17</v>
      </c>
      <c r="K996" s="12">
        <v>0.25</v>
      </c>
      <c r="L996" s="8" t="s">
        <v>31</v>
      </c>
      <c r="M996" s="8" t="s">
        <v>22</v>
      </c>
      <c r="N996" s="10" t="s">
        <v>43</v>
      </c>
      <c r="O996" s="17">
        <f xml:space="preserve"> (Tabla1[[#This Row],[Unit_Price]] - Tabla1[[#This Row],[Unit_Cost]] ) * Tabla1[[#This Row],[Quantity_Sold]]</f>
        <v>4178.1800000000057</v>
      </c>
      <c r="P996" s="12">
        <f>Tabla1[[#This Row],[Profit]] / Tabla1[[#This Row],[Sales_Calculated]]</f>
        <v>4.0791126310851557E-2</v>
      </c>
      <c r="Q996" s="20">
        <f xml:space="preserve"> Tabla1[[#This Row],[Unit_Price]] * Tabla1[[#This Row],[Quantity_Sold]]</f>
        <v>102428.65000000001</v>
      </c>
    </row>
    <row r="997" spans="1:17" x14ac:dyDescent="0.3">
      <c r="A997" s="2">
        <v>1010</v>
      </c>
      <c r="B997" s="1">
        <v>45031</v>
      </c>
      <c r="C997" s="8" t="s">
        <v>33</v>
      </c>
      <c r="D997" s="8" t="s">
        <v>15</v>
      </c>
      <c r="E997" s="6">
        <v>4733.88</v>
      </c>
      <c r="F997" s="2">
        <v>4</v>
      </c>
      <c r="G997" s="8" t="s">
        <v>26</v>
      </c>
      <c r="H997" s="6">
        <v>4943.03</v>
      </c>
      <c r="I997" s="6">
        <v>5442.15</v>
      </c>
      <c r="J997" s="8" t="s">
        <v>17</v>
      </c>
      <c r="K997" s="12">
        <v>0.28999999999999998</v>
      </c>
      <c r="L997" s="8" t="s">
        <v>18</v>
      </c>
      <c r="M997" s="8" t="s">
        <v>19</v>
      </c>
      <c r="N997" s="10" t="s">
        <v>53</v>
      </c>
      <c r="O997" s="17">
        <f xml:space="preserve"> (Tabla1[[#This Row],[Unit_Price]] - Tabla1[[#This Row],[Unit_Cost]] ) * Tabla1[[#This Row],[Quantity_Sold]]</f>
        <v>1996.4799999999996</v>
      </c>
      <c r="P997" s="12">
        <f>Tabla1[[#This Row],[Profit]] / Tabla1[[#This Row],[Sales_Calculated]]</f>
        <v>9.1713752836654616E-2</v>
      </c>
      <c r="Q997" s="20">
        <f xml:space="preserve"> Tabla1[[#This Row],[Unit_Price]] * Tabla1[[#This Row],[Quantity_Sold]]</f>
        <v>21768.6</v>
      </c>
    </row>
    <row r="998" spans="1:17" x14ac:dyDescent="0.3">
      <c r="A998" s="2">
        <v>1067</v>
      </c>
      <c r="B998" s="1">
        <v>45176</v>
      </c>
      <c r="C998" s="8" t="s">
        <v>14</v>
      </c>
      <c r="D998" s="8" t="s">
        <v>15</v>
      </c>
      <c r="E998" s="6">
        <v>4716.3599999999997</v>
      </c>
      <c r="F998" s="2">
        <v>37</v>
      </c>
      <c r="G998" s="8" t="s">
        <v>29</v>
      </c>
      <c r="H998" s="6">
        <v>1754.32</v>
      </c>
      <c r="I998" s="6">
        <v>1856.3999999999901</v>
      </c>
      <c r="J998" s="8" t="s">
        <v>30</v>
      </c>
      <c r="K998" s="12">
        <v>0.21</v>
      </c>
      <c r="L998" s="8" t="s">
        <v>27</v>
      </c>
      <c r="M998" s="8" t="s">
        <v>22</v>
      </c>
      <c r="N998" s="10" t="s">
        <v>20</v>
      </c>
      <c r="O998" s="17">
        <f xml:space="preserve"> (Tabla1[[#This Row],[Unit_Price]] - Tabla1[[#This Row],[Unit_Cost]] ) * Tabla1[[#This Row],[Quantity_Sold]]</f>
        <v>3776.9599999996353</v>
      </c>
      <c r="P998" s="12">
        <f>Tabla1[[#This Row],[Profit]] / Tabla1[[#This Row],[Sales_Calculated]]</f>
        <v>5.4988149105791147E-2</v>
      </c>
      <c r="Q998" s="20">
        <f xml:space="preserve"> Tabla1[[#This Row],[Unit_Price]] * Tabla1[[#This Row],[Quantity_Sold]]</f>
        <v>68686.799999999639</v>
      </c>
    </row>
    <row r="999" spans="1:17" x14ac:dyDescent="0.3">
      <c r="A999" s="2">
        <v>1018</v>
      </c>
      <c r="B999" s="1">
        <v>45043</v>
      </c>
      <c r="C999" s="8" t="s">
        <v>24</v>
      </c>
      <c r="D999" s="8" t="s">
        <v>25</v>
      </c>
      <c r="E999" s="6">
        <v>7629.7</v>
      </c>
      <c r="F999" s="2">
        <v>17</v>
      </c>
      <c r="G999" s="8" t="s">
        <v>29</v>
      </c>
      <c r="H999" s="6">
        <v>355.72</v>
      </c>
      <c r="I999" s="6">
        <v>438.27</v>
      </c>
      <c r="J999" s="8" t="s">
        <v>17</v>
      </c>
      <c r="K999" s="12">
        <v>0.06</v>
      </c>
      <c r="L999" s="8" t="s">
        <v>27</v>
      </c>
      <c r="M999" s="8" t="s">
        <v>19</v>
      </c>
      <c r="N999" s="10" t="s">
        <v>28</v>
      </c>
      <c r="O999" s="17">
        <f xml:space="preserve"> (Tabla1[[#This Row],[Unit_Price]] - Tabla1[[#This Row],[Unit_Cost]] ) * Tabla1[[#This Row],[Quantity_Sold]]</f>
        <v>1403.3499999999992</v>
      </c>
      <c r="P999" s="12">
        <f>Tabla1[[#This Row],[Profit]] / Tabla1[[#This Row],[Sales_Calculated]]</f>
        <v>0.18835421087457493</v>
      </c>
      <c r="Q999" s="20">
        <f xml:space="preserve"> Tabla1[[#This Row],[Unit_Price]] * Tabla1[[#This Row],[Quantity_Sold]]</f>
        <v>7450.59</v>
      </c>
    </row>
    <row r="1000" spans="1:17" x14ac:dyDescent="0.3">
      <c r="A1000" s="2">
        <v>1100</v>
      </c>
      <c r="B1000" s="1">
        <v>45280</v>
      </c>
      <c r="C1000" s="8" t="s">
        <v>24</v>
      </c>
      <c r="D1000" s="8" t="s">
        <v>21</v>
      </c>
      <c r="E1000" s="6">
        <v>1629.47</v>
      </c>
      <c r="F1000" s="2">
        <v>39</v>
      </c>
      <c r="G1000" s="8" t="s">
        <v>35</v>
      </c>
      <c r="H1000" s="6">
        <v>3685.03</v>
      </c>
      <c r="I1000" s="6">
        <v>3743.39</v>
      </c>
      <c r="J1000" s="8" t="s">
        <v>30</v>
      </c>
      <c r="K1000" s="12">
        <v>0.01</v>
      </c>
      <c r="L1000" s="8" t="s">
        <v>27</v>
      </c>
      <c r="M1000" s="8" t="s">
        <v>19</v>
      </c>
      <c r="N1000" s="10" t="s">
        <v>47</v>
      </c>
      <c r="O1000" s="17">
        <f xml:space="preserve"> (Tabla1[[#This Row],[Unit_Price]] - Tabla1[[#This Row],[Unit_Cost]] ) * Tabla1[[#This Row],[Quantity_Sold]]</f>
        <v>2276.0399999999872</v>
      </c>
      <c r="P1000" s="12">
        <f>Tabla1[[#This Row],[Profit]] / Tabla1[[#This Row],[Sales_Calculated]]</f>
        <v>1.5590146898933767E-2</v>
      </c>
      <c r="Q1000" s="20">
        <f xml:space="preserve"> Tabla1[[#This Row],[Unit_Price]] * Tabla1[[#This Row],[Quantity_Sold]]</f>
        <v>145992.21</v>
      </c>
    </row>
    <row r="1001" spans="1:17" x14ac:dyDescent="0.3">
      <c r="A1001" s="2">
        <v>1086</v>
      </c>
      <c r="B1001" s="1">
        <v>45154</v>
      </c>
      <c r="C1001" s="8" t="s">
        <v>42</v>
      </c>
      <c r="D1001" s="8" t="s">
        <v>34</v>
      </c>
      <c r="E1001" s="6">
        <v>4923.93</v>
      </c>
      <c r="F1001" s="2">
        <v>48</v>
      </c>
      <c r="G1001" s="8" t="s">
        <v>26</v>
      </c>
      <c r="H1001" s="6">
        <v>2632.58</v>
      </c>
      <c r="I1001" s="6">
        <v>2926.68</v>
      </c>
      <c r="J1001" s="8" t="s">
        <v>17</v>
      </c>
      <c r="K1001" s="12">
        <v>0.14000000000000001</v>
      </c>
      <c r="L1001" s="8" t="s">
        <v>18</v>
      </c>
      <c r="M1001" s="8" t="s">
        <v>19</v>
      </c>
      <c r="N1001" s="10" t="s">
        <v>52</v>
      </c>
      <c r="O1001" s="17">
        <f xml:space="preserve"> (Tabla1[[#This Row],[Unit_Price]] - Tabla1[[#This Row],[Unit_Cost]] ) * Tabla1[[#This Row],[Quantity_Sold]]</f>
        <v>14116.799999999996</v>
      </c>
      <c r="P1001" s="12">
        <f>Tabla1[[#This Row],[Profit]] / Tabla1[[#This Row],[Sales_Calculated]]</f>
        <v>0.10048929162053929</v>
      </c>
      <c r="Q1001" s="20">
        <f xml:space="preserve"> Tabla1[[#This Row],[Unit_Price]] * Tabla1[[#This Row],[Quantity_Sold]]</f>
        <v>140480.63999999998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A079-0D5B-4E99-B714-2AAE75370C9A}">
  <dimension ref="A3:B19"/>
  <sheetViews>
    <sheetView workbookViewId="0">
      <selection activeCell="J19" sqref="J19"/>
    </sheetView>
  </sheetViews>
  <sheetFormatPr baseColWidth="10" defaultRowHeight="14.4" x14ac:dyDescent="0.3"/>
  <cols>
    <col min="1" max="1" width="16.5546875" bestFit="1" customWidth="1"/>
    <col min="2" max="2" width="23.21875" bestFit="1" customWidth="1"/>
  </cols>
  <sheetData>
    <row r="3" spans="1:2" x14ac:dyDescent="0.3">
      <c r="A3" s="13" t="s">
        <v>54</v>
      </c>
      <c r="B3" t="s">
        <v>79</v>
      </c>
    </row>
    <row r="4" spans="1:2" x14ac:dyDescent="0.3">
      <c r="A4" s="14" t="s">
        <v>56</v>
      </c>
      <c r="B4" s="21">
        <v>70269661.24999997</v>
      </c>
    </row>
    <row r="5" spans="1:2" x14ac:dyDescent="0.3">
      <c r="A5" s="15" t="s">
        <v>58</v>
      </c>
      <c r="B5" s="21">
        <v>7427821.0499999942</v>
      </c>
    </row>
    <row r="6" spans="1:2" x14ac:dyDescent="0.3">
      <c r="A6" s="15" t="s">
        <v>59</v>
      </c>
      <c r="B6" s="21">
        <v>5627477.4499999983</v>
      </c>
    </row>
    <row r="7" spans="1:2" x14ac:dyDescent="0.3">
      <c r="A7" s="15" t="s">
        <v>60</v>
      </c>
      <c r="B7" s="21">
        <v>6008259.4100000011</v>
      </c>
    </row>
    <row r="8" spans="1:2" x14ac:dyDescent="0.3">
      <c r="A8" s="15" t="s">
        <v>61</v>
      </c>
      <c r="B8" s="21">
        <v>5468497.620000001</v>
      </c>
    </row>
    <row r="9" spans="1:2" x14ac:dyDescent="0.3">
      <c r="A9" s="15" t="s">
        <v>62</v>
      </c>
      <c r="B9" s="21">
        <v>5800626.5099999961</v>
      </c>
    </row>
    <row r="10" spans="1:2" x14ac:dyDescent="0.3">
      <c r="A10" s="15" t="s">
        <v>63</v>
      </c>
      <c r="B10" s="21">
        <v>6142561.2299999967</v>
      </c>
    </row>
    <row r="11" spans="1:2" x14ac:dyDescent="0.3">
      <c r="A11" s="15" t="s">
        <v>64</v>
      </c>
      <c r="B11" s="21">
        <v>4751432.42</v>
      </c>
    </row>
    <row r="12" spans="1:2" x14ac:dyDescent="0.3">
      <c r="A12" s="15" t="s">
        <v>65</v>
      </c>
      <c r="B12" s="21">
        <v>6716190.6099999975</v>
      </c>
    </row>
    <row r="13" spans="1:2" x14ac:dyDescent="0.3">
      <c r="A13" s="15" t="s">
        <v>66</v>
      </c>
      <c r="B13" s="21">
        <v>4557015.5799999982</v>
      </c>
    </row>
    <row r="14" spans="1:2" x14ac:dyDescent="0.3">
      <c r="A14" s="15" t="s">
        <v>67</v>
      </c>
      <c r="B14" s="21">
        <v>6560606.3899999959</v>
      </c>
    </row>
    <row r="15" spans="1:2" x14ac:dyDescent="0.3">
      <c r="A15" s="15" t="s">
        <v>68</v>
      </c>
      <c r="B15" s="21">
        <v>4958930.1899999958</v>
      </c>
    </row>
    <row r="16" spans="1:2" x14ac:dyDescent="0.3">
      <c r="A16" s="15" t="s">
        <v>69</v>
      </c>
      <c r="B16" s="21">
        <v>6250242.7899999972</v>
      </c>
    </row>
    <row r="17" spans="1:2" x14ac:dyDescent="0.3">
      <c r="A17" s="14" t="s">
        <v>57</v>
      </c>
      <c r="B17" s="21">
        <v>60279.46</v>
      </c>
    </row>
    <row r="18" spans="1:2" x14ac:dyDescent="0.3">
      <c r="A18" s="15" t="s">
        <v>58</v>
      </c>
      <c r="B18" s="21">
        <v>60279.46</v>
      </c>
    </row>
    <row r="19" spans="1:2" x14ac:dyDescent="0.3">
      <c r="A19" s="14" t="s">
        <v>55</v>
      </c>
      <c r="B19" s="21">
        <v>70329940.709999964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C1D1-1A07-45B9-82AE-1B6B33059FA0}">
  <dimension ref="A3:B8"/>
  <sheetViews>
    <sheetView workbookViewId="0">
      <selection activeCell="L13" sqref="L13"/>
    </sheetView>
  </sheetViews>
  <sheetFormatPr baseColWidth="10" defaultRowHeight="14.4" x14ac:dyDescent="0.3"/>
  <cols>
    <col min="1" max="1" width="16.5546875" bestFit="1" customWidth="1"/>
    <col min="2" max="2" width="13.109375" bestFit="1" customWidth="1"/>
  </cols>
  <sheetData>
    <row r="3" spans="1:2" x14ac:dyDescent="0.3">
      <c r="A3" s="13" t="s">
        <v>54</v>
      </c>
      <c r="B3" t="s">
        <v>71</v>
      </c>
    </row>
    <row r="4" spans="1:2" x14ac:dyDescent="0.3">
      <c r="A4" s="14" t="s">
        <v>16</v>
      </c>
      <c r="B4" s="18">
        <v>1779461.1599999934</v>
      </c>
    </row>
    <row r="5" spans="1:2" x14ac:dyDescent="0.3">
      <c r="A5" s="14" t="s">
        <v>29</v>
      </c>
      <c r="B5" s="18">
        <v>1712957.7999999931</v>
      </c>
    </row>
    <row r="6" spans="1:2" x14ac:dyDescent="0.3">
      <c r="A6" s="14" t="s">
        <v>35</v>
      </c>
      <c r="B6" s="18">
        <v>1574320.0599999935</v>
      </c>
    </row>
    <row r="7" spans="1:2" x14ac:dyDescent="0.3">
      <c r="A7" s="14" t="s">
        <v>26</v>
      </c>
      <c r="B7" s="18">
        <v>1421108.0499999952</v>
      </c>
    </row>
    <row r="8" spans="1:2" x14ac:dyDescent="0.3">
      <c r="A8" s="14" t="s">
        <v>55</v>
      </c>
      <c r="B8" s="18">
        <v>6487847.0699999752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38EC-261B-4A2A-8DEB-B88DC54CBE6E}">
  <dimension ref="A3:B8"/>
  <sheetViews>
    <sheetView workbookViewId="0">
      <selection activeCell="A4" sqref="A4:A7"/>
      <pivotSelection pane="bottomRight" showHeader="1" activeRow="3" click="1" r:id="rId1">
        <pivotArea dataOnly="0" labelOnly="1" fieldPosition="0">
          <references count="1">
            <reference field="6" count="0"/>
          </references>
        </pivotArea>
      </pivotSelection>
    </sheetView>
  </sheetViews>
  <sheetFormatPr baseColWidth="10" defaultRowHeight="14.4" x14ac:dyDescent="0.3"/>
  <cols>
    <col min="1" max="1" width="16.5546875" bestFit="1" customWidth="1"/>
    <col min="2" max="2" width="17.5546875" bestFit="1" customWidth="1"/>
  </cols>
  <sheetData>
    <row r="3" spans="1:2" x14ac:dyDescent="0.3">
      <c r="A3" s="13" t="s">
        <v>54</v>
      </c>
      <c r="B3" t="s">
        <v>73</v>
      </c>
    </row>
    <row r="4" spans="1:2" x14ac:dyDescent="0.3">
      <c r="A4" s="14" t="s">
        <v>29</v>
      </c>
      <c r="B4" s="19">
        <v>0.13822130526889059</v>
      </c>
    </row>
    <row r="5" spans="1:2" x14ac:dyDescent="0.3">
      <c r="A5" s="14" t="s">
        <v>35</v>
      </c>
      <c r="B5" s="19">
        <v>0.14284932779210849</v>
      </c>
    </row>
    <row r="6" spans="1:2" x14ac:dyDescent="0.3">
      <c r="A6" s="14" t="s">
        <v>26</v>
      </c>
      <c r="B6" s="19">
        <v>0.14458221526384166</v>
      </c>
    </row>
    <row r="7" spans="1:2" x14ac:dyDescent="0.3">
      <c r="A7" s="14" t="s">
        <v>16</v>
      </c>
      <c r="B7" s="19">
        <v>0.14575681715707259</v>
      </c>
    </row>
    <row r="8" spans="1:2" x14ac:dyDescent="0.3">
      <c r="A8" s="14" t="s">
        <v>55</v>
      </c>
      <c r="B8" s="19">
        <v>0.14275659755938827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EC8A-CE6C-4799-B515-FA1A8D0F2AAD}">
  <dimension ref="A1:C4"/>
  <sheetViews>
    <sheetView showGridLines="0" tabSelected="1" zoomScaleNormal="100" workbookViewId="0">
      <selection activeCell="K4" sqref="K4"/>
    </sheetView>
  </sheetViews>
  <sheetFormatPr baseColWidth="10" defaultRowHeight="14.4" x14ac:dyDescent="0.3"/>
  <cols>
    <col min="1" max="1" width="23.5546875" bestFit="1" customWidth="1"/>
    <col min="2" max="2" width="21.6640625" bestFit="1" customWidth="1"/>
    <col min="3" max="3" width="21.77734375" bestFit="1" customWidth="1"/>
  </cols>
  <sheetData>
    <row r="1" spans="1:3" x14ac:dyDescent="0.3">
      <c r="A1" s="22" t="s">
        <v>78</v>
      </c>
      <c r="B1" s="22"/>
      <c r="C1" s="22"/>
    </row>
    <row r="2" spans="1:3" x14ac:dyDescent="0.3">
      <c r="A2" s="22"/>
      <c r="B2" s="22"/>
      <c r="C2" s="22"/>
    </row>
    <row r="3" spans="1:3" ht="25.2" customHeight="1" x14ac:dyDescent="0.3">
      <c r="A3" s="23" t="s">
        <v>77</v>
      </c>
      <c r="B3" s="23" t="s">
        <v>75</v>
      </c>
      <c r="C3" s="23" t="s">
        <v>76</v>
      </c>
    </row>
    <row r="4" spans="1:3" ht="59.4" customHeight="1" x14ac:dyDescent="0.3">
      <c r="A4" s="24">
        <f>SUM(Tabla1[Sales_Calculated])</f>
        <v>70329940.709999934</v>
      </c>
      <c r="B4" s="24">
        <f>SUM(Tabla1[Profit])</f>
        <v>6487847.0699999714</v>
      </c>
      <c r="C4" s="25">
        <f>AVERAGE(Tabla1[Margin])</f>
        <v>0.14275659755938827</v>
      </c>
    </row>
  </sheetData>
  <mergeCells count="1">
    <mergeCell ref="A1:C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0314106B6BDB40B64925FE595890A5" ma:contentTypeVersion="15" ma:contentTypeDescription="Create a new document." ma:contentTypeScope="" ma:versionID="3214a6c5fc737e28cb9660abe825b7f9">
  <xsd:schema xmlns:xsd="http://www.w3.org/2001/XMLSchema" xmlns:xs="http://www.w3.org/2001/XMLSchema" xmlns:p="http://schemas.microsoft.com/office/2006/metadata/properties" xmlns:ns3="fe5d9aab-e2e8-4c52-badc-ff0965a47e2b" xmlns:ns4="e2c1fb52-91dd-4568-b28e-1cd43ec3f4f2" targetNamespace="http://schemas.microsoft.com/office/2006/metadata/properties" ma:root="true" ma:fieldsID="88aa79bec9a821e8de88456dec81238c" ns3:_="" ns4:_="">
    <xsd:import namespace="fe5d9aab-e2e8-4c52-badc-ff0965a47e2b"/>
    <xsd:import namespace="e2c1fb52-91dd-4568-b28e-1cd43ec3f4f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d9aab-e2e8-4c52-badc-ff0965a47e2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1fb52-91dd-4568-b28e-1cd43ec3f4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c1fb52-91dd-4568-b28e-1cd43ec3f4f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FD8F7D-289D-4FF4-9DE3-E281ABBB1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5d9aab-e2e8-4c52-badc-ff0965a47e2b"/>
    <ds:schemaRef ds:uri="e2c1fb52-91dd-4568-b28e-1cd43ec3f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ACE527-F835-43A4-AAAA-78D6958F22B0}">
  <ds:schemaRefs>
    <ds:schemaRef ds:uri="fe5d9aab-e2e8-4c52-badc-ff0965a47e2b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e2c1fb52-91dd-4568-b28e-1cd43ec3f4f2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BB46132-D550-490A-8C19-D3668992CE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sales_data</vt:lpstr>
      <vt:lpstr>Sales by Mouth</vt:lpstr>
      <vt:lpstr>Top Products by Profit</vt:lpstr>
      <vt:lpstr>Average Profit Margin by Produc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DURAN ESQUIVEL</dc:creator>
  <cp:lastModifiedBy>DURAN ESQUIVEL MANUEL</cp:lastModifiedBy>
  <dcterms:created xsi:type="dcterms:W3CDTF">2026-02-10T19:30:41Z</dcterms:created>
  <dcterms:modified xsi:type="dcterms:W3CDTF">2026-02-11T22:25:36Z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0x010100BE0314106B6BDB40B64925FE595890A5</vt:lpwstr>
  </property>
</Properties>
</file>